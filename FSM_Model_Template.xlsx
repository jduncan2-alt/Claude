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M" sheetId="1" state="visible" r:id="rId1"/>
    <sheet xmlns:r="http://schemas.openxmlformats.org/officeDocument/2006/relationships" name="Debt Schedule" sheetId="2" state="visible" r:id="rId2"/>
    <sheet xmlns:r="http://schemas.openxmlformats.org/officeDocument/2006/relationships" name="Credit Metric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;(0.0%);-"/>
    <numFmt numFmtId="165" formatCode="$#,##0.0;($#,##0.0);-"/>
    <numFmt numFmtId="166" formatCode="#,##0.0;(#,##0.0);-"/>
    <numFmt numFmtId="167" formatCode="$0.00;($0.00);-"/>
    <numFmt numFmtId="168" formatCode="0.0x;(0.0x);-"/>
    <numFmt numFmtId="169" formatCode="0.0x"/>
    <numFmt numFmtId="170" formatCode="$0.00"/>
    <numFmt numFmtId="171" formatCode="#,##0.000;(#,##0.000);-"/>
    <numFmt numFmtId="172" formatCode="#,##0.00;(#,##0.00);-"/>
    <numFmt numFmtId="173" formatCode="0.00%;(0.00%);-"/>
  </numFmts>
  <fonts count="2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  <sz val="12"/>
    </font>
    <font>
      <b val="1"/>
      <color rgb="00FFFFFF"/>
      <sz val="10"/>
    </font>
    <font>
      <color rgb="00000000"/>
    </font>
    <font>
      <color rgb="000000FF"/>
    </font>
    <font>
      <b val="1"/>
      <color rgb="00FFFFFF"/>
      <sz val="11"/>
    </font>
    <font>
      <b val="1"/>
    </font>
    <font>
      <b val="1"/>
      <color rgb="0000B050"/>
    </font>
    <font>
      <b val="1"/>
      <sz val="11"/>
    </font>
    <font>
      <sz val="9"/>
    </font>
    <font>
      <b val="1"/>
      <color rgb="0000B050"/>
      <sz val="12"/>
    </font>
    <font>
      <b val="1"/>
      <color rgb="00FFFFFF"/>
      <sz val="14"/>
    </font>
    <font>
      <b val="1"/>
      <color rgb="00FFFFFF"/>
      <sz val="13"/>
    </font>
    <font>
      <i val="1"/>
      <sz val="10"/>
    </font>
    <font>
      <b val="1"/>
      <color rgb="00FFFFFF"/>
      <sz val="16"/>
    </font>
    <font>
      <b val="1"/>
      <i val="1"/>
      <sz val="9"/>
    </font>
    <font>
      <b val="1"/>
      <color rgb="000000FF"/>
      <sz val="14"/>
    </font>
    <font>
      <i val="1"/>
      <color rgb="00FF0000"/>
      <sz val="9"/>
    </font>
    <font>
      <i val="1"/>
      <color rgb="0000B050"/>
      <sz val="9"/>
    </font>
    <font>
      <b val="1"/>
      <color rgb="00FFFFFF"/>
      <sz val="9"/>
    </font>
    <font>
      <b val="1"/>
      <color rgb="00FFFFFF"/>
    </font>
    <font>
      <b val="1"/>
      <color rgb="00FF6600"/>
      <sz val="12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00B050"/>
        <bgColor rgb="0000B05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4" fontId="8" fillId="0" borderId="0" pivotButton="0" quotePrefix="0" xfId="0"/>
    <xf numFmtId="0" fontId="7" fillId="5" borderId="0" applyAlignment="1" pivotButton="0" quotePrefix="0" xfId="0">
      <alignment horizontal="center" vertical="center" wrapText="1"/>
    </xf>
    <xf numFmtId="165" fontId="7" fillId="6" borderId="0" pivotButton="0" quotePrefix="0" xfId="0"/>
    <xf numFmtId="0" fontId="7" fillId="2" borderId="0" applyAlignment="1" pivotButton="0" quotePrefix="0" xfId="0">
      <alignment horizontal="center" vertical="center" wrapText="1"/>
    </xf>
    <xf numFmtId="165" fontId="7" fillId="4" borderId="0" pivotButton="0" quotePrefix="0" xfId="0"/>
    <xf numFmtId="166" fontId="0" fillId="0" borderId="0" pivotButton="0" quotePrefix="0" xfId="0"/>
    <xf numFmtId="167" fontId="8" fillId="0" borderId="0" pivotButton="0" quotePrefix="0" xfId="0"/>
    <xf numFmtId="165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68" fontId="0" fillId="0" borderId="0" pivotButton="0" quotePrefix="0" xfId="0"/>
    <xf numFmtId="168" fontId="9" fillId="0" borderId="0" pivotButton="0" quotePrefix="0" xfId="0"/>
    <xf numFmtId="168" fontId="8" fillId="0" borderId="0" pivotButton="0" quotePrefix="0" xfId="0"/>
    <xf numFmtId="0" fontId="12" fillId="0" borderId="0" pivotButton="0" quotePrefix="0" xfId="0"/>
    <xf numFmtId="169" fontId="6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5" fontId="10" fillId="0" borderId="0" pivotButton="0" quotePrefix="0" xfId="0"/>
    <xf numFmtId="165" fontId="3" fillId="5" borderId="0" pivotButton="0" quotePrefix="0" xfId="0"/>
    <xf numFmtId="167" fontId="13" fillId="6" borderId="0" pivotButton="0" quotePrefix="0" xfId="0"/>
    <xf numFmtId="164" fontId="0" fillId="7" borderId="0" pivotButton="0" quotePrefix="0" xfId="0"/>
    <xf numFmtId="164" fontId="0" fillId="8" borderId="0" pivotButton="0" quotePrefix="0" xfId="0"/>
    <xf numFmtId="170" fontId="8" fillId="0" borderId="0" pivotButton="0" quotePrefix="0" xfId="0"/>
    <xf numFmtId="172" fontId="6" fillId="0" borderId="0" pivotButton="0" quotePrefix="0" xfId="0"/>
    <xf numFmtId="173" fontId="0" fillId="0" borderId="0" pivotButton="0" quotePrefix="0" xfId="0"/>
    <xf numFmtId="164" fontId="14" fillId="4" borderId="0" pivotButton="0" quotePrefix="0" xfId="0"/>
    <xf numFmtId="164" fontId="14" fillId="5" borderId="0" pivotButton="0" quotePrefix="0" xfId="0"/>
    <xf numFmtId="173" fontId="8" fillId="0" borderId="0" pivotButton="0" quotePrefix="0" xfId="0"/>
    <xf numFmtId="0" fontId="15" fillId="0" borderId="0" pivotButton="0" quotePrefix="0" xfId="0"/>
    <xf numFmtId="164" fontId="16" fillId="6" borderId="0" pivotButton="0" quotePrefix="0" xfId="0"/>
    <xf numFmtId="0" fontId="17" fillId="0" borderId="0" pivotButton="0" quotePrefix="0" xfId="0"/>
    <xf numFmtId="164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2" borderId="0" applyAlignment="1" pivotButton="0" quotePrefix="0" xfId="0">
      <alignment horizontal="center" vertical="center" wrapText="1"/>
    </xf>
    <xf numFmtId="164" fontId="21" fillId="2" borderId="0" applyAlignment="1" pivotButton="0" quotePrefix="0" xfId="0">
      <alignment horizontal="center" vertical="center" wrapText="1"/>
    </xf>
    <xf numFmtId="170" fontId="0" fillId="7" borderId="0" pivotButton="0" quotePrefix="0" xfId="0"/>
    <xf numFmtId="170" fontId="0" fillId="8" borderId="0" pivotButton="0" quotePrefix="0" xfId="0"/>
    <xf numFmtId="170" fontId="0" fillId="9" borderId="0" pivotButton="0" quotePrefix="0" xfId="0"/>
    <xf numFmtId="170" fontId="22" fillId="6" borderId="0" pivotButton="0" quotePrefix="0" xfId="0"/>
    <xf numFmtId="0" fontId="9" fillId="0" borderId="0" pivotButton="0" quotePrefix="0" xfId="0"/>
    <xf numFmtId="164" fontId="9" fillId="0" borderId="0" pivotButton="0" quotePrefix="0" xfId="0"/>
    <xf numFmtId="170" fontId="9" fillId="0" borderId="0" pivotButton="0" quotePrefix="0" xfId="0"/>
    <xf numFmtId="169" fontId="0" fillId="0" borderId="0" pivotButton="0" quotePrefix="0" xfId="0"/>
    <xf numFmtId="169" fontId="9" fillId="0" borderId="0" pivotButton="0" quotePrefix="0" xfId="0"/>
    <xf numFmtId="0" fontId="23" fillId="0" borderId="0" pivotButton="0" quotePrefix="0" xfId="0"/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40" customWidth="1" min="9" max="9"/>
  </cols>
  <sheetData>
    <row r="1">
      <c r="A1" s="1" t="inlineStr">
        <is>
          <t>Copart, Inc. (CPRT) - Financial Statement Model</t>
        </is>
      </c>
    </row>
    <row r="2">
      <c r="A2" s="2" t="inlineStr">
        <is>
          <t>Source: Company 10-K FY2025, 10-Q Q3 FY2025 | All figures in $ millions</t>
        </is>
      </c>
    </row>
    <row r="4">
      <c r="A4" s="3" t="inlineStr">
        <is>
          <t>KEY ASSUMPTIONS</t>
        </is>
      </c>
    </row>
    <row r="5">
      <c r="A5" s="4" t="inlineStr">
        <is>
          <t>Assumption</t>
        </is>
      </c>
      <c r="B5" s="4" t="inlineStr">
        <is>
          <t>FY2023A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FY2026E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Source / Notes</t>
        </is>
      </c>
    </row>
    <row r="6">
      <c r="A6" t="inlineStr">
        <is>
          <t>Service Revenue Growth %</t>
        </is>
      </c>
      <c r="C6" s="5" t="n">
        <v>0.08599999999999999</v>
      </c>
      <c r="D6" s="5" t="n">
        <v>0.112</v>
      </c>
      <c r="E6" s="6" t="n">
        <v>0.05</v>
      </c>
      <c r="F6" s="6" t="n">
        <v>0.08</v>
      </c>
      <c r="G6" s="6" t="n">
        <v>0.1</v>
      </c>
      <c r="H6" s="6" t="n">
        <v>0.06</v>
      </c>
      <c r="I6" s="2" t="inlineStr">
        <is>
          <t>CapIQ consensus, mgmt guidance</t>
        </is>
      </c>
    </row>
    <row r="7">
      <c r="A7" t="inlineStr">
        <is>
          <t>Vehicle Sales Growth %</t>
        </is>
      </c>
      <c r="C7" s="5" t="n">
        <v>0.145</v>
      </c>
      <c r="D7" s="5" t="n">
        <v>0.015</v>
      </c>
      <c r="E7" s="6" t="n">
        <v>0.035</v>
      </c>
      <c r="F7" s="6" t="n">
        <v>0.045</v>
      </c>
      <c r="G7" s="6" t="n">
        <v>0.12</v>
      </c>
      <c r="H7" s="6" t="n">
        <v>0.05</v>
      </c>
      <c r="I7" s="2" t="inlineStr">
        <is>
          <t>Market dependent, volatile</t>
        </is>
      </c>
    </row>
    <row r="8">
      <c r="A8" t="inlineStr">
        <is>
          <t>Service Revenue Gross Margin %</t>
        </is>
      </c>
      <c r="B8" s="5" t="n">
        <v>0.48</v>
      </c>
      <c r="C8" s="5" t="n">
        <v>0.48</v>
      </c>
      <c r="D8" s="5" t="n">
        <v>0.4970000000000001</v>
      </c>
      <c r="E8" s="6" t="n">
        <v>0.49</v>
      </c>
      <c r="F8" s="6" t="n">
        <v>0.5</v>
      </c>
      <c r="G8" s="6" t="n">
        <v>0.51</v>
      </c>
      <c r="H8" s="6" t="n">
        <v>0.51</v>
      </c>
      <c r="I8" s="2" t="inlineStr">
        <is>
          <t>Historical 48-50%, expanding with scale</t>
        </is>
      </c>
    </row>
    <row r="9">
      <c r="A9" t="inlineStr">
        <is>
          <t>Vehicle Sales Gross Margin %</t>
        </is>
      </c>
      <c r="B9" s="5" t="n">
        <v>0.274</v>
      </c>
      <c r="C9" s="5" t="n">
        <v>0.339</v>
      </c>
      <c r="D9" s="5" t="n">
        <v>0.327</v>
      </c>
      <c r="E9" s="6" t="n">
        <v>0.322</v>
      </c>
      <c r="F9" s="6" t="n">
        <v>0.335</v>
      </c>
      <c r="G9" s="6" t="n">
        <v>0.35</v>
      </c>
      <c r="H9" s="6" t="n">
        <v>0.35</v>
      </c>
      <c r="I9" s="2" t="inlineStr">
        <is>
          <t>Low margin pass-through, volatile</t>
        </is>
      </c>
    </row>
    <row r="10">
      <c r="A10" t="inlineStr">
        <is>
          <t>EBITDA Margin %</t>
        </is>
      </c>
      <c r="B10" s="5" t="n">
        <v>0.424</v>
      </c>
      <c r="C10" s="5" t="n">
        <v>0.414</v>
      </c>
      <c r="D10" s="5" t="n">
        <v>0.421</v>
      </c>
      <c r="E10" s="6" t="n">
        <v>0.427</v>
      </c>
      <c r="F10" s="6" t="n">
        <v>0.44</v>
      </c>
      <c r="G10" s="6" t="n">
        <v>0.439</v>
      </c>
      <c r="H10" s="6" t="n">
        <v>0.4379999999999999</v>
      </c>
      <c r="I10" s="2" t="inlineStr">
        <is>
          <t>Target ~43-44% range, stable</t>
        </is>
      </c>
    </row>
    <row r="11">
      <c r="A11" t="inlineStr">
        <is>
          <t>Tax Rate %</t>
        </is>
      </c>
      <c r="B11" s="5" t="n">
        <v>0.194</v>
      </c>
      <c r="C11" s="5" t="n">
        <v>0.199</v>
      </c>
      <c r="D11" s="5" t="n">
        <v>0.185</v>
      </c>
      <c r="E11" s="6" t="n">
        <v>0.2</v>
      </c>
      <c r="F11" s="6" t="n">
        <v>0.2</v>
      </c>
      <c r="G11" s="6" t="n">
        <v>0.2</v>
      </c>
      <c r="H11" s="6" t="n">
        <v>0.2</v>
      </c>
      <c r="I11" s="2" t="inlineStr">
        <is>
          <t>Normalized to 20% statutory rate</t>
        </is>
      </c>
    </row>
    <row r="12">
      <c r="A12" t="inlineStr">
        <is>
          <t>Capex as % of Revenue</t>
        </is>
      </c>
      <c r="B12" s="5" t="n">
        <v>0.118</v>
      </c>
      <c r="C12" s="5" t="n">
        <v>0.098</v>
      </c>
      <c r="D12" s="5" t="n">
        <v>0.1</v>
      </c>
      <c r="E12" s="6" t="n">
        <v>0.09</v>
      </c>
      <c r="F12" s="6" t="n">
        <v>0.09</v>
      </c>
      <c r="G12" s="6" t="n">
        <v>0.09</v>
      </c>
      <c r="H12" s="6" t="n">
        <v>0.09</v>
      </c>
      <c r="I12" s="2" t="inlineStr">
        <is>
          <t>Normalizing to 9%, below historical 10-12%</t>
        </is>
      </c>
    </row>
    <row r="13">
      <c r="A13" t="inlineStr">
        <is>
          <t>NWC Change ($ millions)</t>
        </is>
      </c>
      <c r="B13" s="7" t="n">
        <v>45</v>
      </c>
      <c r="C13" s="7" t="n">
        <v>35</v>
      </c>
      <c r="D13" s="7" t="n">
        <v>-25</v>
      </c>
      <c r="E13" s="8" t="n">
        <v>20</v>
      </c>
      <c r="F13" s="8" t="n">
        <v>25</v>
      </c>
      <c r="G13" s="8" t="n">
        <v>30</v>
      </c>
      <c r="H13" s="8" t="n">
        <v>30</v>
      </c>
      <c r="I13" s="2" t="inlineStr">
        <is>
          <t>Minimal working capital needs, asset-light</t>
        </is>
      </c>
    </row>
    <row r="14"/>
    <row r="15"/>
    <row r="16">
      <c r="A16" s="9" t="inlineStr">
        <is>
          <t>Fiscal Year Ending July 31</t>
        </is>
      </c>
      <c r="B16" s="9" t="inlineStr">
        <is>
          <t>FY2023A</t>
        </is>
      </c>
      <c r="C16" s="9" t="inlineStr">
        <is>
          <t>FY2024A</t>
        </is>
      </c>
      <c r="D16" s="9" t="inlineStr">
        <is>
          <t>FY2025A</t>
        </is>
      </c>
      <c r="E16" s="9" t="inlineStr">
        <is>
          <t>FY2026E</t>
        </is>
      </c>
      <c r="F16" s="9" t="inlineStr">
        <is>
          <t>FY2027E</t>
        </is>
      </c>
      <c r="G16" s="9" t="inlineStr">
        <is>
          <t>FY2028E</t>
        </is>
      </c>
      <c r="H16" s="9" t="inlineStr">
        <is>
          <t>FY2029E</t>
        </is>
      </c>
    </row>
    <row r="17"/>
    <row r="18">
      <c r="A18" s="10" t="inlineStr">
        <is>
          <t>Revenue (Detailed Breakdown)</t>
        </is>
      </c>
    </row>
    <row r="19">
      <c r="A19" t="inlineStr">
        <is>
          <t>Service Revenues</t>
        </is>
      </c>
      <c r="B19" s="7" t="n">
        <v>3286</v>
      </c>
      <c r="C19" s="7" t="n">
        <v>3568.5</v>
      </c>
      <c r="D19" s="7" t="n">
        <v>3968.7</v>
      </c>
      <c r="E19" s="11" t="n">
        <v>4167.1</v>
      </c>
      <c r="F19" s="11" t="n">
        <v>4500.5</v>
      </c>
      <c r="G19" s="11" t="n">
        <v>4950.5</v>
      </c>
      <c r="H19" s="11" t="n">
        <v>5247.5</v>
      </c>
    </row>
    <row r="20">
      <c r="A20" t="inlineStr">
        <is>
          <t>Service Revenue Growth %</t>
        </is>
      </c>
      <c r="C20" s="12" t="n">
        <v>0.08599999999999999</v>
      </c>
      <c r="D20" s="12" t="n">
        <v>0.112</v>
      </c>
      <c r="E20" s="12" t="n">
        <v>0.05</v>
      </c>
      <c r="F20" s="12" t="n">
        <v>0.08</v>
      </c>
      <c r="G20" s="12" t="n">
        <v>0.1</v>
      </c>
      <c r="H20" s="12" t="n">
        <v>0.06</v>
      </c>
    </row>
    <row r="21">
      <c r="A21" t="inlineStr">
        <is>
          <t>Vehicle Sales</t>
        </is>
      </c>
      <c r="B21" s="7" t="n">
        <v>583.5</v>
      </c>
      <c r="C21" s="7" t="n">
        <v>668.3</v>
      </c>
      <c r="D21" s="7" t="n">
        <v>678.3</v>
      </c>
      <c r="E21" s="11" t="n">
        <v>702</v>
      </c>
      <c r="F21" s="11" t="n">
        <v>733.6</v>
      </c>
      <c r="G21" s="11" t="n">
        <v>821.6</v>
      </c>
      <c r="H21" s="11" t="n">
        <v>862.7</v>
      </c>
    </row>
    <row r="22">
      <c r="A22" t="inlineStr">
        <is>
          <t>Vehicle Sales Growth %</t>
        </is>
      </c>
      <c r="C22" s="12" t="n">
        <v>0.145</v>
      </c>
      <c r="D22" s="12" t="n">
        <v>0.015</v>
      </c>
      <c r="E22" s="12" t="n">
        <v>0.035</v>
      </c>
      <c r="F22" s="12" t="n">
        <v>0.045</v>
      </c>
      <c r="G22" s="12" t="n">
        <v>0.12</v>
      </c>
      <c r="H22" s="12" t="n">
        <v>0.05</v>
      </c>
    </row>
    <row r="23"/>
    <row r="24">
      <c r="A24" t="inlineStr">
        <is>
          <t>Total Revenue</t>
        </is>
      </c>
      <c r="B24" s="13" t="n">
        <v>3869.5</v>
      </c>
      <c r="C24" s="13" t="n">
        <v>4236.8</v>
      </c>
      <c r="D24" s="13" t="n">
        <v>4647</v>
      </c>
      <c r="E24" s="13" t="n">
        <v>4869.1</v>
      </c>
      <c r="F24" s="13" t="n">
        <v>5234.1</v>
      </c>
      <c r="G24" s="13" t="n">
        <v>5772.1</v>
      </c>
      <c r="H24" s="13" t="n">
        <v>6110.2</v>
      </c>
    </row>
    <row r="25">
      <c r="A25" t="inlineStr">
        <is>
          <t>Total Revenue Growth %</t>
        </is>
      </c>
      <c r="C25" s="14" t="n">
        <v>0.095</v>
      </c>
      <c r="D25" s="14" t="n">
        <v>0.09699999999999999</v>
      </c>
      <c r="E25" s="14" t="n">
        <v>0.048</v>
      </c>
      <c r="F25" s="14" t="n">
        <v>0.075</v>
      </c>
      <c r="G25" s="14" t="n">
        <v>0.103</v>
      </c>
      <c r="H25" s="14" t="n">
        <v>0.059</v>
      </c>
    </row>
    <row r="26"/>
    <row r="27">
      <c r="A27" s="15" t="inlineStr">
        <is>
          <t>Gross Profit (by Revenue Type)</t>
        </is>
      </c>
    </row>
    <row r="28">
      <c r="A28" t="inlineStr">
        <is>
          <t>Service Revenues Gross Profit</t>
        </is>
      </c>
      <c r="B28" s="11" t="n">
        <v>1577.3</v>
      </c>
      <c r="C28" s="11" t="n">
        <v>1712.9</v>
      </c>
      <c r="D28" s="11" t="n">
        <v>1970.3</v>
      </c>
      <c r="E28" s="11" t="n">
        <v>2041.9</v>
      </c>
      <c r="F28" s="11" t="n">
        <v>2250.3</v>
      </c>
      <c r="G28" s="11" t="n">
        <v>2525</v>
      </c>
      <c r="H28" s="11" t="n">
        <v>2676.2</v>
      </c>
    </row>
    <row r="29">
      <c r="A29" t="inlineStr">
        <is>
          <t>Service Revenue Gross Margin %</t>
        </is>
      </c>
      <c r="B29" s="12" t="n">
        <v>0.48</v>
      </c>
      <c r="C29" s="12" t="n">
        <v>0.48</v>
      </c>
      <c r="D29" s="12" t="n">
        <v>0.4970000000000001</v>
      </c>
      <c r="E29" s="12" t="n">
        <v>0.49</v>
      </c>
      <c r="F29" s="12" t="n">
        <v>0.5</v>
      </c>
      <c r="G29" s="12" t="n">
        <v>0.51</v>
      </c>
      <c r="H29" s="12" t="n">
        <v>0.51</v>
      </c>
    </row>
    <row r="30">
      <c r="A30" t="inlineStr">
        <is>
          <t>Vehicle Sales Gross Profit</t>
        </is>
      </c>
      <c r="B30" s="11" t="n">
        <v>159.7</v>
      </c>
      <c r="C30" s="11" t="n">
        <v>226.3</v>
      </c>
      <c r="D30" s="11" t="n">
        <v>221.8</v>
      </c>
      <c r="E30" s="11" t="n">
        <v>226.1</v>
      </c>
      <c r="F30" s="11" t="n">
        <v>246</v>
      </c>
      <c r="G30" s="11" t="n">
        <v>287.6</v>
      </c>
      <c r="H30" s="11" t="n">
        <v>302</v>
      </c>
    </row>
    <row r="31">
      <c r="A31" t="inlineStr">
        <is>
          <t>Vehicle Sales Gross Margin %</t>
        </is>
      </c>
      <c r="B31" s="12" t="n">
        <v>0.274</v>
      </c>
      <c r="C31" s="12" t="n">
        <v>0.339</v>
      </c>
      <c r="D31" s="12" t="n">
        <v>0.327</v>
      </c>
      <c r="E31" s="12" t="n">
        <v>0.322</v>
      </c>
      <c r="F31" s="12" t="n">
        <v>0.335</v>
      </c>
      <c r="G31" s="12" t="n">
        <v>0.35</v>
      </c>
      <c r="H31" s="12" t="n">
        <v>0.35</v>
      </c>
    </row>
    <row r="32"/>
    <row r="33">
      <c r="A33" t="inlineStr">
        <is>
          <t>Total Gross Profit</t>
        </is>
      </c>
      <c r="B33" s="13" t="n">
        <v>1737</v>
      </c>
      <c r="C33" s="13" t="n">
        <v>1939.2</v>
      </c>
      <c r="D33" s="13" t="n">
        <v>2192.1</v>
      </c>
      <c r="E33" s="13" t="n">
        <v>2268</v>
      </c>
      <c r="F33" s="13" t="n">
        <v>2496.3</v>
      </c>
      <c r="G33" s="13" t="n">
        <v>2812.6</v>
      </c>
      <c r="H33" s="13" t="n">
        <v>2978.2</v>
      </c>
    </row>
    <row r="34">
      <c r="A34" t="inlineStr">
        <is>
          <t>Total Gross Margin %</t>
        </is>
      </c>
      <c r="B34" s="14" t="n">
        <v>0.449</v>
      </c>
      <c r="C34" s="14" t="n">
        <v>0.458</v>
      </c>
      <c r="D34" s="14" t="n">
        <v>0.472</v>
      </c>
      <c r="E34" s="14" t="n">
        <v>0.466</v>
      </c>
      <c r="F34" s="14" t="n">
        <v>0.477</v>
      </c>
      <c r="G34" s="14" t="n">
        <v>0.487</v>
      </c>
      <c r="H34" s="14" t="n">
        <v>0.487</v>
      </c>
    </row>
    <row r="35"/>
    <row r="36">
      <c r="A36" s="15" t="inlineStr">
        <is>
          <t>Operating Expenses</t>
        </is>
      </c>
    </row>
    <row r="37">
      <c r="A37" t="inlineStr">
        <is>
          <t>SG&amp;A</t>
        </is>
      </c>
      <c r="B37" s="11" t="n">
        <v>553.1</v>
      </c>
      <c r="C37" s="11" t="n">
        <v>639.1</v>
      </c>
      <c r="D37" s="11" t="n">
        <v>656.6</v>
      </c>
      <c r="E37" s="11" t="n">
        <v>687.6</v>
      </c>
      <c r="F37" s="11" t="n">
        <v>738.8</v>
      </c>
      <c r="G37" s="11" t="n">
        <v>815</v>
      </c>
      <c r="H37" s="11" t="n">
        <v>862.4</v>
      </c>
    </row>
    <row r="38">
      <c r="A38" t="inlineStr">
        <is>
          <t>SG&amp;A as % of Revenue</t>
        </is>
      </c>
      <c r="B38" s="12" t="n">
        <v>0.143</v>
      </c>
      <c r="C38" s="12" t="n">
        <v>0.151</v>
      </c>
      <c r="D38" s="12" t="n">
        <v>0.141</v>
      </c>
      <c r="E38" s="12" t="n">
        <v>0.141</v>
      </c>
      <c r="F38" s="12" t="n">
        <v>0.141</v>
      </c>
      <c r="G38" s="12" t="n">
        <v>0.141</v>
      </c>
      <c r="H38" s="12" t="n">
        <v>0.141</v>
      </c>
    </row>
    <row r="39">
      <c r="A39" t="inlineStr">
        <is>
          <t>D&amp;A</t>
        </is>
      </c>
      <c r="B39" s="11" t="n">
        <v>152.3</v>
      </c>
      <c r="C39" s="11" t="n">
        <v>181.1</v>
      </c>
      <c r="D39" s="11" t="n">
        <v>202.8</v>
      </c>
      <c r="E39" s="11" t="n">
        <v>232.7</v>
      </c>
      <c r="F39" s="11" t="n">
        <v>251.6</v>
      </c>
      <c r="G39" s="11" t="n">
        <v>265.5</v>
      </c>
      <c r="H39" s="11" t="n">
        <v>282.1</v>
      </c>
    </row>
    <row r="40"/>
    <row r="41">
      <c r="A41" t="inlineStr">
        <is>
          <t>EBITDA</t>
        </is>
      </c>
      <c r="B41" s="13" t="n">
        <v>1638.9</v>
      </c>
      <c r="C41" s="13" t="n">
        <v>1754.3</v>
      </c>
      <c r="D41" s="13" t="n">
        <v>1955.5</v>
      </c>
      <c r="E41" s="13" t="n">
        <v>2080.4</v>
      </c>
      <c r="F41" s="13" t="n">
        <v>2303.9</v>
      </c>
      <c r="G41" s="13" t="n">
        <v>2532.1</v>
      </c>
      <c r="H41" s="13" t="n">
        <v>2677.7</v>
      </c>
    </row>
    <row r="42">
      <c r="A42" t="inlineStr">
        <is>
          <t>EBITDA Margin %</t>
        </is>
      </c>
      <c r="B42" s="14" t="n">
        <v>0.424</v>
      </c>
      <c r="C42" s="14" t="n">
        <v>0.414</v>
      </c>
      <c r="D42" s="14" t="n">
        <v>0.421</v>
      </c>
      <c r="E42" s="14" t="n">
        <v>0.427</v>
      </c>
      <c r="F42" s="14" t="n">
        <v>0.44</v>
      </c>
      <c r="G42" s="14" t="n">
        <v>0.439</v>
      </c>
      <c r="H42" s="14" t="n">
        <v>0.4379999999999999</v>
      </c>
    </row>
    <row r="43"/>
    <row r="44">
      <c r="A44" t="inlineStr">
        <is>
          <t>EBIT</t>
        </is>
      </c>
      <c r="B44" s="13" t="n">
        <v>1486.6</v>
      </c>
      <c r="C44" s="13" t="n">
        <v>1573.2</v>
      </c>
      <c r="D44" s="13" t="n">
        <v>1752.7</v>
      </c>
      <c r="E44" s="13" t="n">
        <v>1847.7</v>
      </c>
      <c r="F44" s="13" t="n">
        <v>2052.3</v>
      </c>
      <c r="G44" s="13" t="n">
        <v>2266.6</v>
      </c>
      <c r="H44" s="13" t="n">
        <v>2395.6</v>
      </c>
    </row>
    <row r="45">
      <c r="A45" t="inlineStr">
        <is>
          <t>EBIT Margin %</t>
        </is>
      </c>
      <c r="B45" s="14" t="n">
        <v>0.384</v>
      </c>
      <c r="C45" s="14" t="n">
        <v>0.371</v>
      </c>
      <c r="D45" s="14" t="n">
        <v>0.377</v>
      </c>
      <c r="E45" s="14" t="n">
        <v>0.379</v>
      </c>
      <c r="F45" s="14" t="n">
        <v>0.392</v>
      </c>
      <c r="G45" s="14" t="n">
        <v>0.393</v>
      </c>
      <c r="H45" s="14" t="n">
        <v>0.392</v>
      </c>
    </row>
    <row r="46"/>
    <row r="47">
      <c r="A47" s="9" t="inlineStr">
        <is>
          <t>Income Statement</t>
        </is>
      </c>
    </row>
    <row r="48">
      <c r="A48" t="inlineStr">
        <is>
          <t>EBIT</t>
        </is>
      </c>
      <c r="B48" s="11" t="n">
        <v>1486.6</v>
      </c>
      <c r="C48" s="11" t="n">
        <v>1573.2</v>
      </c>
      <c r="D48" s="11" t="n">
        <v>1752.7</v>
      </c>
      <c r="E48" s="11" t="n">
        <v>1847.7</v>
      </c>
      <c r="F48" s="11" t="n">
        <v>2052.3</v>
      </c>
      <c r="G48" s="11" t="n">
        <v>2266.6</v>
      </c>
      <c r="H48" s="11" t="n">
        <v>2395.6</v>
      </c>
    </row>
    <row r="49">
      <c r="A49" t="inlineStr">
        <is>
          <t>Interest Income/(Expense), net</t>
        </is>
      </c>
      <c r="B49" s="11" t="n">
        <v>49.5</v>
      </c>
      <c r="C49" s="11" t="n">
        <v>128.1</v>
      </c>
      <c r="D49" s="11" t="n">
        <v>149.2</v>
      </c>
      <c r="E49" s="11" t="n">
        <v>120</v>
      </c>
      <c r="F49" s="11" t="n">
        <v>120</v>
      </c>
      <c r="G49" s="11" t="n">
        <v>120</v>
      </c>
      <c r="H49" s="11" t="n">
        <v>120</v>
      </c>
    </row>
    <row r="50">
      <c r="A50" t="inlineStr">
        <is>
          <t>Pretax Income</t>
        </is>
      </c>
      <c r="B50" s="11" t="n">
        <v>1536.1</v>
      </c>
      <c r="C50" s="11" t="n">
        <v>1701.3</v>
      </c>
      <c r="D50" s="11" t="n">
        <v>1901.9</v>
      </c>
      <c r="E50" s="11" t="n">
        <v>1967.7</v>
      </c>
      <c r="F50" s="11" t="n">
        <v>2172.3</v>
      </c>
      <c r="G50" s="11" t="n">
        <v>2386.6</v>
      </c>
      <c r="H50" s="11" t="n">
        <v>2515.6</v>
      </c>
    </row>
    <row r="51">
      <c r="A51" t="inlineStr">
        <is>
          <t>Tax Expense</t>
        </is>
      </c>
      <c r="B51" s="11" t="n">
        <v>298.3</v>
      </c>
      <c r="C51" s="11" t="n">
        <v>338.5</v>
      </c>
      <c r="D51" s="11" t="n">
        <v>351.8</v>
      </c>
      <c r="E51" s="11" t="n">
        <v>393.5</v>
      </c>
      <c r="F51" s="11" t="n">
        <v>434.5</v>
      </c>
      <c r="G51" s="11" t="n">
        <v>477.3</v>
      </c>
      <c r="H51" s="11" t="n">
        <v>503.1</v>
      </c>
    </row>
    <row r="52">
      <c r="A52" t="inlineStr">
        <is>
          <t>Effective Tax Rate %</t>
        </is>
      </c>
      <c r="B52" s="12" t="n">
        <v>0.194</v>
      </c>
      <c r="C52" s="12" t="n">
        <v>0.199</v>
      </c>
      <c r="D52" s="12" t="n">
        <v>0.185</v>
      </c>
      <c r="E52" s="12" t="n">
        <v>0.2</v>
      </c>
      <c r="F52" s="12" t="n">
        <v>0.2</v>
      </c>
      <c r="G52" s="12" t="n">
        <v>0.2</v>
      </c>
      <c r="H52" s="12" t="n">
        <v>0.2</v>
      </c>
    </row>
    <row r="53"/>
    <row r="54">
      <c r="A54" t="inlineStr">
        <is>
          <t>Net Income</t>
        </is>
      </c>
      <c r="B54" s="16" t="n">
        <v>1237.7</v>
      </c>
      <c r="C54" s="16" t="n">
        <v>1363</v>
      </c>
      <c r="D54" s="16" t="n">
        <v>1548.4</v>
      </c>
      <c r="E54" s="16" t="n">
        <v>1574.2</v>
      </c>
      <c r="F54" s="16" t="n">
        <v>1737.9</v>
      </c>
      <c r="G54" s="16" t="n">
        <v>1909.3</v>
      </c>
      <c r="H54" s="16" t="n">
        <v>2012.5</v>
      </c>
    </row>
    <row r="55">
      <c r="A55" t="inlineStr">
        <is>
          <t>Net Margin %</t>
        </is>
      </c>
      <c r="B55" s="14" t="n">
        <v>0.32</v>
      </c>
      <c r="C55" s="14" t="n">
        <v>0.322</v>
      </c>
      <c r="D55" s="14" t="n">
        <v>0.333</v>
      </c>
      <c r="E55" s="14" t="n">
        <v>0.323</v>
      </c>
      <c r="F55" s="14" t="n">
        <v>0.332</v>
      </c>
      <c r="G55" s="14" t="n">
        <v>0.331</v>
      </c>
      <c r="H55" s="14" t="n">
        <v>0.329</v>
      </c>
    </row>
    <row r="56"/>
    <row r="57">
      <c r="A57" s="17" t="inlineStr">
        <is>
          <t>Free Cash Flow Build</t>
        </is>
      </c>
    </row>
    <row r="58">
      <c r="A58" t="inlineStr">
        <is>
          <t>EBITDA</t>
        </is>
      </c>
      <c r="B58" s="11" t="n">
        <v>1638.9</v>
      </c>
      <c r="C58" s="11" t="n">
        <v>1754.3</v>
      </c>
      <c r="D58" s="11" t="n">
        <v>1955.5</v>
      </c>
      <c r="E58" s="11" t="n">
        <v>2080.4</v>
      </c>
      <c r="F58" s="11" t="n">
        <v>2303.9</v>
      </c>
      <c r="G58" s="11" t="n">
        <v>2532.1</v>
      </c>
      <c r="H58" s="11" t="n">
        <v>2677.7</v>
      </c>
    </row>
    <row r="59">
      <c r="A59" t="inlineStr">
        <is>
          <t>Less: Cash Taxes</t>
        </is>
      </c>
      <c r="B59" s="11" t="n">
        <v>298.3</v>
      </c>
      <c r="C59" s="11" t="n">
        <v>338.5</v>
      </c>
      <c r="D59" s="11" t="n">
        <v>351.8</v>
      </c>
      <c r="E59" s="11" t="n">
        <v>393.5</v>
      </c>
      <c r="F59" s="11" t="n">
        <v>434.5</v>
      </c>
      <c r="G59" s="11" t="n">
        <v>477.3</v>
      </c>
      <c r="H59" s="11" t="n">
        <v>503.1</v>
      </c>
    </row>
    <row r="60">
      <c r="A60" t="inlineStr">
        <is>
          <t>Less: Capex</t>
        </is>
      </c>
      <c r="B60" s="11" t="n">
        <v>457.3</v>
      </c>
      <c r="C60" s="11" t="n">
        <v>416.2</v>
      </c>
      <c r="D60" s="11" t="n">
        <v>467</v>
      </c>
      <c r="E60" s="11" t="n">
        <v>438.2</v>
      </c>
      <c r="F60" s="11" t="n">
        <v>471.1</v>
      </c>
      <c r="G60" s="11" t="n">
        <v>519.5</v>
      </c>
      <c r="H60" s="11" t="n">
        <v>549.9</v>
      </c>
    </row>
    <row r="61">
      <c r="A61" t="inlineStr">
        <is>
          <t>Capex as % of Revenue</t>
        </is>
      </c>
      <c r="B61" s="12" t="n">
        <v>0.118</v>
      </c>
      <c r="C61" s="12" t="n">
        <v>0.098</v>
      </c>
      <c r="D61" s="12" t="n">
        <v>0.1</v>
      </c>
      <c r="E61" s="12" t="n">
        <v>0.09</v>
      </c>
      <c r="F61" s="12" t="n">
        <v>0.09</v>
      </c>
      <c r="G61" s="12" t="n">
        <v>0.09</v>
      </c>
      <c r="H61" s="12" t="n">
        <v>0.09</v>
      </c>
    </row>
    <row r="62">
      <c r="A62" t="inlineStr">
        <is>
          <t>Less: Change in NWC</t>
        </is>
      </c>
      <c r="B62" s="11" t="n">
        <v>45</v>
      </c>
      <c r="C62" s="11" t="n">
        <v>35</v>
      </c>
      <c r="D62" s="11" t="n">
        <v>-25</v>
      </c>
      <c r="E62" s="11" t="n">
        <v>20</v>
      </c>
      <c r="F62" s="11" t="n">
        <v>25</v>
      </c>
      <c r="G62" s="11" t="n">
        <v>30</v>
      </c>
      <c r="H62" s="11" t="n">
        <v>30</v>
      </c>
    </row>
    <row r="63"/>
    <row r="64">
      <c r="A64" t="inlineStr">
        <is>
          <t>Unlevered Free Cash Flow</t>
        </is>
      </c>
      <c r="B64" s="18" t="n">
        <v>838.3</v>
      </c>
      <c r="C64" s="18" t="n">
        <v>964.6</v>
      </c>
      <c r="D64" s="18" t="n">
        <v>1203.2</v>
      </c>
      <c r="E64" s="18" t="n">
        <v>1229.7</v>
      </c>
      <c r="F64" s="18" t="n">
        <v>1375.3</v>
      </c>
      <c r="G64" s="18" t="n">
        <v>1505.9</v>
      </c>
      <c r="H64" s="18" t="n">
        <v>1594.7</v>
      </c>
    </row>
    <row r="65">
      <c r="A65" t="inlineStr">
        <is>
          <t>FCF Margin %</t>
        </is>
      </c>
      <c r="B65" s="14" t="n">
        <v>0.217</v>
      </c>
      <c r="C65" s="14" t="n">
        <v>0.228</v>
      </c>
      <c r="D65" s="14" t="n">
        <v>0.259</v>
      </c>
      <c r="E65" s="14" t="n">
        <v>0.253</v>
      </c>
      <c r="F65" s="14" t="n">
        <v>0.263</v>
      </c>
      <c r="G65" s="14" t="n">
        <v>0.261</v>
      </c>
      <c r="H65" s="14" t="n">
        <v>0.261</v>
      </c>
    </row>
    <row r="66"/>
    <row r="67">
      <c r="A67" s="17" t="inlineStr">
        <is>
          <t>Per Share Metrics</t>
        </is>
      </c>
    </row>
    <row r="68">
      <c r="A68" t="inlineStr">
        <is>
          <t>Diluted Shares Outstanding (mm)</t>
        </is>
      </c>
      <c r="B68" s="19" t="n">
        <v>967.8</v>
      </c>
      <c r="C68" s="19" t="n">
        <v>973.6</v>
      </c>
      <c r="D68" s="19" t="n">
        <v>977.6</v>
      </c>
      <c r="E68" s="19" t="n">
        <v>980</v>
      </c>
      <c r="F68" s="19" t="n">
        <v>983</v>
      </c>
      <c r="G68" s="19" t="n">
        <v>986</v>
      </c>
      <c r="H68" s="19" t="n">
        <v>989</v>
      </c>
    </row>
    <row r="69">
      <c r="A69" t="inlineStr">
        <is>
          <t>Diluted EPS</t>
        </is>
      </c>
      <c r="B69" s="20" t="n">
        <v>1.28</v>
      </c>
      <c r="C69" s="20" t="n">
        <v>1.4</v>
      </c>
      <c r="D69" s="20" t="n">
        <v>1.58</v>
      </c>
      <c r="E69" s="20" t="n">
        <v>1.61</v>
      </c>
      <c r="F69" s="20" t="n">
        <v>1.77</v>
      </c>
      <c r="G69" s="20" t="n">
        <v>1.94</v>
      </c>
      <c r="H69" s="20" t="n">
        <v>2.03</v>
      </c>
    </row>
    <row r="70">
      <c r="A70" t="inlineStr">
        <is>
          <t>FCF per Share</t>
        </is>
      </c>
      <c r="B70" s="20" t="n">
        <v>0.87</v>
      </c>
      <c r="C70" s="20" t="n">
        <v>0.99</v>
      </c>
      <c r="D70" s="20" t="n">
        <v>1.23</v>
      </c>
      <c r="E70" s="20" t="n">
        <v>1.25</v>
      </c>
      <c r="F70" s="20" t="n">
        <v>1.4</v>
      </c>
      <c r="G70" s="20" t="n">
        <v>1.53</v>
      </c>
      <c r="H70" s="20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Copart, Inc. (CPRT) - Debt Schedule</t>
        </is>
      </c>
    </row>
    <row r="2">
      <c r="A2" s="2" t="inlineStr">
        <is>
          <t>Source: Company 10-K FY2025 | All figures in $ millions</t>
        </is>
      </c>
    </row>
    <row r="4">
      <c r="A4" s="3" t="inlineStr">
        <is>
          <t>KEY ASSUMPTIONS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Source / Notes</t>
        </is>
      </c>
    </row>
    <row r="6">
      <c r="A6" t="inlineStr">
        <is>
          <t>Interest Rate on Debt</t>
        </is>
      </c>
      <c r="B6" s="6" t="n">
        <v>0.04</v>
      </c>
      <c r="C6" s="2" t="inlineStr">
        <is>
          <t>Conservative estimate, finance leases</t>
        </is>
      </c>
    </row>
    <row r="7">
      <c r="A7" t="inlineStr">
        <is>
          <t>Interest Rate on Cash</t>
        </is>
      </c>
      <c r="B7" s="6" t="n">
        <v>0.041</v>
      </c>
      <c r="C7" s="2" t="inlineStr">
        <is>
          <t>Short-term rates, money market funds</t>
        </is>
      </c>
    </row>
    <row r="8">
      <c r="A8" t="inlineStr">
        <is>
          <t>Revolver Facility Size</t>
        </is>
      </c>
      <c r="B8" s="8" t="n">
        <v>1250</v>
      </c>
      <c r="C8" s="2" t="inlineStr">
        <is>
          <t>Company 10-K, undrawn</t>
        </is>
      </c>
    </row>
    <row r="11">
      <c r="A11" s="9" t="inlineStr">
        <is>
          <t>Fiscal Year Ending July 31</t>
        </is>
      </c>
      <c r="B11" s="9" t="inlineStr">
        <is>
          <t>FY2023A</t>
        </is>
      </c>
      <c r="C11" s="9" t="inlineStr">
        <is>
          <t>FY2024A</t>
        </is>
      </c>
      <c r="D11" s="9" t="inlineStr">
        <is>
          <t>FY2025A</t>
        </is>
      </c>
      <c r="E11" s="9" t="inlineStr">
        <is>
          <t>FY2026E</t>
        </is>
      </c>
      <c r="F11" s="9" t="inlineStr">
        <is>
          <t>FY2027E</t>
        </is>
      </c>
      <c r="G11" s="9" t="inlineStr">
        <is>
          <t>FY2028E</t>
        </is>
      </c>
      <c r="H11" s="9" t="inlineStr">
        <is>
          <t>FY2029E</t>
        </is>
      </c>
    </row>
    <row r="13">
      <c r="A13" s="10" t="inlineStr">
        <is>
          <t>Debt Structure</t>
        </is>
      </c>
    </row>
    <row r="14">
      <c r="A14" t="inlineStr">
        <is>
          <t>Revolver Drawn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</row>
    <row r="15">
      <c r="A15" t="inlineStr">
        <is>
          <t>Term Loan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</row>
    <row r="16">
      <c r="A16" t="inlineStr">
        <is>
          <t>Finance Leases</t>
        </is>
      </c>
      <c r="B16" s="11" t="n">
        <v>103.7</v>
      </c>
      <c r="C16" s="11" t="n">
        <v>103.7</v>
      </c>
      <c r="D16" s="11" t="n">
        <v>103.7</v>
      </c>
      <c r="E16" s="11" t="n">
        <v>90</v>
      </c>
      <c r="F16" s="11" t="n">
        <v>80</v>
      </c>
      <c r="G16" s="11" t="n">
        <v>70</v>
      </c>
      <c r="H16" s="11" t="n">
        <v>60</v>
      </c>
    </row>
    <row r="17">
      <c r="A17" t="inlineStr">
        <is>
          <t>Total Debt</t>
        </is>
      </c>
      <c r="B17" s="13" t="n">
        <v>103.7</v>
      </c>
      <c r="C17" s="13" t="n">
        <v>103.7</v>
      </c>
      <c r="D17" s="13" t="n">
        <v>103.7</v>
      </c>
      <c r="E17" s="13" t="n">
        <v>90</v>
      </c>
      <c r="F17" s="13" t="n">
        <v>80</v>
      </c>
      <c r="G17" s="13" t="n">
        <v>70</v>
      </c>
      <c r="H17" s="13" t="n">
        <v>60</v>
      </c>
    </row>
    <row r="19">
      <c r="A19" s="15" t="inlineStr">
        <is>
          <t>Cash Position</t>
        </is>
      </c>
    </row>
    <row r="20">
      <c r="A20" t="inlineStr">
        <is>
          <t>Cash &amp; Short-Term Investments</t>
        </is>
      </c>
      <c r="B20" s="11" t="n">
        <v>2957.1</v>
      </c>
      <c r="C20" s="11" t="n">
        <v>2876.5</v>
      </c>
      <c r="D20" s="11" t="n">
        <v>2784</v>
      </c>
      <c r="E20" s="11" t="n">
        <v>3000</v>
      </c>
      <c r="F20" s="11" t="n">
        <v>3300</v>
      </c>
      <c r="G20" s="11" t="n">
        <v>3600</v>
      </c>
      <c r="H20" s="11" t="n">
        <v>3900</v>
      </c>
    </row>
    <row r="21">
      <c r="A21" t="inlineStr">
        <is>
          <t>Net Debt (Cash)</t>
        </is>
      </c>
      <c r="B21" s="21" t="n">
        <v>-2853.4</v>
      </c>
      <c r="C21" s="21" t="n">
        <v>-2772.8</v>
      </c>
      <c r="D21" s="21" t="n">
        <v>-2680.3</v>
      </c>
      <c r="E21" s="21" t="n">
        <v>-2910</v>
      </c>
      <c r="F21" s="21" t="n">
        <v>-3220</v>
      </c>
      <c r="G21" s="21" t="n">
        <v>-3530</v>
      </c>
      <c r="H21" s="21" t="n">
        <v>-3840</v>
      </c>
    </row>
    <row r="23">
      <c r="A23" s="17" t="inlineStr">
        <is>
          <t>Interest Calculations</t>
        </is>
      </c>
    </row>
    <row r="24">
      <c r="A24" t="inlineStr">
        <is>
          <t>Interest Expense</t>
        </is>
      </c>
      <c r="B24" s="11" t="n">
        <v>3.6</v>
      </c>
      <c r="C24" s="11" t="n">
        <v>3.6</v>
      </c>
      <c r="D24" s="11" t="n">
        <v>3.6</v>
      </c>
      <c r="E24" s="11" t="n">
        <v>3.6</v>
      </c>
      <c r="F24" s="11" t="n">
        <v>3.2</v>
      </c>
      <c r="G24" s="11" t="n">
        <v>2.8</v>
      </c>
      <c r="H24" s="11" t="n">
        <v>2.4</v>
      </c>
    </row>
    <row r="25">
      <c r="A25" t="inlineStr">
        <is>
          <t>Interest Income (on Cash)</t>
        </is>
      </c>
      <c r="B25" s="11" t="n">
        <v>53.1</v>
      </c>
      <c r="C25" s="11" t="n">
        <v>131.7</v>
      </c>
      <c r="D25" s="11" t="n">
        <v>152.8</v>
      </c>
      <c r="E25" s="11" t="n">
        <v>123.6</v>
      </c>
      <c r="F25" s="11" t="n">
        <v>123.2</v>
      </c>
      <c r="G25" s="11" t="n">
        <v>122.8</v>
      </c>
      <c r="H25" s="11" t="n">
        <v>122.4</v>
      </c>
    </row>
    <row r="26">
      <c r="A26" t="inlineStr">
        <is>
          <t>Net Interest Income</t>
        </is>
      </c>
      <c r="B26" s="13" t="n">
        <v>49.5</v>
      </c>
      <c r="C26" s="13" t="n">
        <v>128.1</v>
      </c>
      <c r="D26" s="13" t="n">
        <v>149.2</v>
      </c>
      <c r="E26" s="13" t="n">
        <v>120</v>
      </c>
      <c r="F26" s="13" t="n">
        <v>120</v>
      </c>
      <c r="G26" s="13" t="n">
        <v>120</v>
      </c>
      <c r="H26" s="13" t="n">
        <v>120</v>
      </c>
    </row>
    <row r="28">
      <c r="A28" s="22" t="inlineStr">
        <is>
          <t>Notes:</t>
        </is>
      </c>
    </row>
    <row r="29">
      <c r="A29" s="23" t="inlineStr">
        <is>
          <t>• Fortress balance sheet: $2.8B+ cash vs ~$104M debt (finance leases only)</t>
        </is>
      </c>
    </row>
    <row r="30">
      <c r="A30" s="23" t="inlineStr">
        <is>
          <t>• $1.25B revolver available but undrawn - no need for external financing</t>
        </is>
      </c>
    </row>
    <row r="31">
      <c r="A31" s="23" t="inlineStr">
        <is>
          <t>• Net interest income due to cash earning higher rates than debt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Copart, Inc. (CPRT) - Credit Metrics Analysis</t>
        </is>
      </c>
    </row>
    <row r="2">
      <c r="A2" s="2" t="inlineStr">
        <is>
          <t>Fortress Balance Sheet Analysis | All figures in $ millions</t>
        </is>
      </c>
    </row>
    <row r="4">
      <c r="A4" s="9" t="inlineStr">
        <is>
          <t>Fiscal Year Ending July 31</t>
        </is>
      </c>
      <c r="B4" s="9" t="inlineStr">
        <is>
          <t>FY2023A</t>
        </is>
      </c>
      <c r="C4" s="9" t="inlineStr">
        <is>
          <t>FY2024A</t>
        </is>
      </c>
      <c r="D4" s="9" t="inlineStr">
        <is>
          <t>FY2025A</t>
        </is>
      </c>
      <c r="E4" s="9" t="inlineStr">
        <is>
          <t>FY2026E</t>
        </is>
      </c>
      <c r="F4" s="9" t="inlineStr">
        <is>
          <t>FY2027E</t>
        </is>
      </c>
      <c r="G4" s="9" t="inlineStr">
        <is>
          <t>FY2028E</t>
        </is>
      </c>
      <c r="H4" s="9" t="inlineStr">
        <is>
          <t>FY2029E</t>
        </is>
      </c>
    </row>
    <row r="6">
      <c r="A6" s="10" t="inlineStr">
        <is>
          <t>Balance Sheet Items</t>
        </is>
      </c>
    </row>
    <row r="7">
      <c r="A7" t="inlineStr">
        <is>
          <t>Total Debt</t>
        </is>
      </c>
      <c r="B7" s="11" t="n">
        <v>103.7</v>
      </c>
      <c r="C7" s="11" t="n">
        <v>103.7</v>
      </c>
      <c r="D7" s="11" t="n">
        <v>103.7</v>
      </c>
      <c r="E7" s="11" t="n">
        <v>90</v>
      </c>
      <c r="F7" s="11" t="n">
        <v>80</v>
      </c>
      <c r="G7" s="11" t="n">
        <v>70</v>
      </c>
      <c r="H7" s="11" t="n">
        <v>60</v>
      </c>
    </row>
    <row r="8">
      <c r="A8" t="inlineStr">
        <is>
          <t>Cash &amp; Equivalents</t>
        </is>
      </c>
      <c r="B8" s="11" t="n">
        <v>2957.1</v>
      </c>
      <c r="C8" s="11" t="n">
        <v>2876.5</v>
      </c>
      <c r="D8" s="11" t="n">
        <v>2784</v>
      </c>
      <c r="E8" s="11" t="n">
        <v>3000</v>
      </c>
      <c r="F8" s="11" t="n">
        <v>3300</v>
      </c>
      <c r="G8" s="11" t="n">
        <v>3600</v>
      </c>
      <c r="H8" s="11" t="n">
        <v>3900</v>
      </c>
    </row>
    <row r="9">
      <c r="A9" t="inlineStr">
        <is>
          <t>Net Debt (Cash)</t>
        </is>
      </c>
      <c r="B9" s="21" t="n">
        <v>-2853.4</v>
      </c>
      <c r="C9" s="21" t="n">
        <v>-2772.8</v>
      </c>
      <c r="D9" s="21" t="n">
        <v>-2680.3</v>
      </c>
      <c r="E9" s="21" t="n">
        <v>-2910</v>
      </c>
      <c r="F9" s="21" t="n">
        <v>-3220</v>
      </c>
      <c r="G9" s="21" t="n">
        <v>-3530</v>
      </c>
      <c r="H9" s="21" t="n">
        <v>-3840</v>
      </c>
    </row>
    <row r="10">
      <c r="A10" t="inlineStr">
        <is>
          <t>Total Equity</t>
        </is>
      </c>
      <c r="B10" s="11" t="n">
        <v>8357</v>
      </c>
      <c r="C10" s="11" t="n">
        <v>8925</v>
      </c>
      <c r="D10" s="11" t="n">
        <v>9187</v>
      </c>
      <c r="E10" s="11" t="n">
        <v>9700</v>
      </c>
      <c r="F10" s="11" t="n">
        <v>10400</v>
      </c>
      <c r="G10" s="11" t="n">
        <v>11200</v>
      </c>
      <c r="H10" s="11" t="n">
        <v>12000</v>
      </c>
    </row>
    <row r="12">
      <c r="A12" s="15" t="inlineStr">
        <is>
          <t>Leverage Ratios</t>
        </is>
      </c>
    </row>
    <row r="13">
      <c r="A13" t="inlineStr">
        <is>
          <t>EBITDA</t>
        </is>
      </c>
      <c r="B13" s="11" t="n">
        <v>1638.9</v>
      </c>
      <c r="C13" s="11" t="n">
        <v>1754.3</v>
      </c>
      <c r="D13" s="11" t="n">
        <v>1955.5</v>
      </c>
      <c r="E13" s="11" t="n">
        <v>2080.4</v>
      </c>
      <c r="F13" s="11" t="n">
        <v>2303.9</v>
      </c>
      <c r="G13" s="11" t="n">
        <v>2532.1</v>
      </c>
      <c r="H13" s="11" t="n">
        <v>2677.7</v>
      </c>
    </row>
    <row r="14">
      <c r="A14" t="inlineStr">
        <is>
          <t>Total Debt / EBITDA</t>
        </is>
      </c>
      <c r="B14" s="24" t="n">
        <v>0.1</v>
      </c>
      <c r="C14" s="24" t="n">
        <v>0.1</v>
      </c>
      <c r="D14" s="24" t="n">
        <v>0.1</v>
      </c>
      <c r="E14" s="24" t="n">
        <v>0</v>
      </c>
      <c r="F14" s="24" t="n">
        <v>0</v>
      </c>
      <c r="G14" s="24" t="n">
        <v>0</v>
      </c>
      <c r="H14" s="24" t="n">
        <v>0</v>
      </c>
    </row>
    <row r="15">
      <c r="A15" t="inlineStr">
        <is>
          <t>Net Debt / EBITDA</t>
        </is>
      </c>
      <c r="B15" s="25" t="n">
        <v>-1.7</v>
      </c>
      <c r="C15" s="25" t="n">
        <v>-1.6</v>
      </c>
      <c r="D15" s="25" t="n">
        <v>-1.4</v>
      </c>
      <c r="E15" s="25" t="n">
        <v>-1.4</v>
      </c>
      <c r="F15" s="25" t="n">
        <v>-1.4</v>
      </c>
      <c r="G15" s="25" t="n">
        <v>-1.4</v>
      </c>
      <c r="H15" s="25" t="n">
        <v>-1.4</v>
      </c>
    </row>
    <row r="16">
      <c r="A16" t="inlineStr">
        <is>
          <t>Debt / Total Capital</t>
        </is>
      </c>
      <c r="B16" s="12" t="n">
        <v>0.012</v>
      </c>
      <c r="C16" s="12" t="n">
        <v>0.011</v>
      </c>
      <c r="D16" s="12" t="n">
        <v>0.011</v>
      </c>
      <c r="E16" s="12" t="n">
        <v>0.009000000000000001</v>
      </c>
      <c r="F16" s="12" t="n">
        <v>0.008</v>
      </c>
      <c r="G16" s="12" t="n">
        <v>0.006</v>
      </c>
      <c r="H16" s="12" t="n">
        <v>0.005</v>
      </c>
    </row>
    <row r="18">
      <c r="A18" s="15" t="inlineStr">
        <is>
          <t>Coverage Ratios</t>
        </is>
      </c>
    </row>
    <row r="19">
      <c r="A19" t="inlineStr">
        <is>
          <t>EBIT</t>
        </is>
      </c>
      <c r="B19" s="11" t="n">
        <v>1486.6</v>
      </c>
      <c r="C19" s="11" t="n">
        <v>1573.2</v>
      </c>
      <c r="D19" s="11" t="n">
        <v>1752.7</v>
      </c>
      <c r="E19" s="11" t="n">
        <v>1847.7</v>
      </c>
      <c r="F19" s="11" t="n">
        <v>2052.3</v>
      </c>
      <c r="G19" s="11" t="n">
        <v>2266.6</v>
      </c>
      <c r="H19" s="11" t="n">
        <v>2395.6</v>
      </c>
    </row>
    <row r="20">
      <c r="A20" t="inlineStr">
        <is>
          <t>Interest Expense</t>
        </is>
      </c>
      <c r="B20" s="11" t="n">
        <v>3.6</v>
      </c>
      <c r="C20" s="11" t="n">
        <v>3.6</v>
      </c>
      <c r="D20" s="11" t="n">
        <v>3.6</v>
      </c>
      <c r="E20" s="11" t="n">
        <v>3.6</v>
      </c>
      <c r="F20" s="11" t="n">
        <v>3.2</v>
      </c>
      <c r="G20" s="11" t="n">
        <v>2.8</v>
      </c>
      <c r="H20" s="11" t="n">
        <v>2.4</v>
      </c>
    </row>
    <row r="21">
      <c r="A21" t="inlineStr">
        <is>
          <t>Interest Coverage (EBIT / Interest)</t>
        </is>
      </c>
      <c r="B21" s="26" t="n">
        <v>412.9</v>
      </c>
      <c r="C21" s="26" t="n">
        <v>436.4</v>
      </c>
      <c r="D21" s="26" t="n">
        <v>486.9</v>
      </c>
      <c r="E21" s="26" t="n">
        <v>513</v>
      </c>
      <c r="F21" s="26" t="n">
        <v>641.3</v>
      </c>
      <c r="G21" s="26" t="n">
        <v>809.5</v>
      </c>
      <c r="H21" s="26" t="n">
        <v>998.2</v>
      </c>
    </row>
    <row r="22">
      <c r="A22" t="inlineStr">
        <is>
          <t>EBITDA / Interest Expense</t>
        </is>
      </c>
      <c r="B22" s="24" t="n">
        <v>455.2</v>
      </c>
      <c r="C22" s="24" t="n">
        <v>487</v>
      </c>
      <c r="D22" s="24" t="n">
        <v>543.2</v>
      </c>
      <c r="E22" s="24" t="n">
        <v>578</v>
      </c>
      <c r="F22" s="24" t="n">
        <v>719.3</v>
      </c>
      <c r="G22" s="24" t="n">
        <v>904.7</v>
      </c>
      <c r="H22" s="24" t="n">
        <v>1115.7</v>
      </c>
    </row>
    <row r="24">
      <c r="A24" s="17" t="inlineStr">
        <is>
          <t>Free Cash Flow Metrics</t>
        </is>
      </c>
    </row>
    <row r="25">
      <c r="A25" t="inlineStr">
        <is>
          <t>Unlevered FCF</t>
        </is>
      </c>
      <c r="B25" s="11" t="n">
        <v>838.3</v>
      </c>
      <c r="C25" s="11" t="n">
        <v>964.6</v>
      </c>
      <c r="D25" s="11" t="n">
        <v>1203.2</v>
      </c>
      <c r="E25" s="11" t="n">
        <v>1229.7</v>
      </c>
      <c r="F25" s="11" t="n">
        <v>1375.3</v>
      </c>
      <c r="G25" s="11" t="n">
        <v>1505.9</v>
      </c>
      <c r="H25" s="11" t="n">
        <v>1594.7</v>
      </c>
    </row>
    <row r="26">
      <c r="A26" t="inlineStr">
        <is>
          <t>FCF / Total Debt</t>
        </is>
      </c>
      <c r="B26" s="25" t="n">
        <v>8.1</v>
      </c>
      <c r="C26" s="25" t="n">
        <v>9.300000000000001</v>
      </c>
      <c r="D26" s="25" t="n">
        <v>11.6</v>
      </c>
      <c r="E26" s="25" t="n">
        <v>13.7</v>
      </c>
      <c r="F26" s="25" t="n">
        <v>17.2</v>
      </c>
      <c r="G26" s="25" t="n">
        <v>21.5</v>
      </c>
      <c r="H26" s="25" t="n">
        <v>26.6</v>
      </c>
    </row>
    <row r="27">
      <c r="A27" t="inlineStr">
        <is>
          <t>Debt Payback Period (years)</t>
        </is>
      </c>
      <c r="B27" s="19" t="n">
        <v>0.1</v>
      </c>
      <c r="C27" s="19" t="n">
        <v>0.1</v>
      </c>
      <c r="D27" s="19" t="n">
        <v>0.1</v>
      </c>
      <c r="E27" s="19" t="n">
        <v>0.1</v>
      </c>
      <c r="F27" s="19" t="n">
        <v>0.1</v>
      </c>
      <c r="G27" s="19" t="n">
        <v>0</v>
      </c>
      <c r="H27" s="19" t="n">
        <v>0</v>
      </c>
    </row>
    <row r="29">
      <c r="A29" s="9" t="inlineStr">
        <is>
          <t>Credit Assessment</t>
        </is>
      </c>
    </row>
    <row r="30">
      <c r="A30" t="inlineStr">
        <is>
          <t>Credit Quality</t>
        </is>
      </c>
      <c r="B30" s="27" t="inlineStr">
        <is>
          <t>FORTRESS BALANCE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  <col width="18" customWidth="1" min="5" max="5"/>
  </cols>
  <sheetData>
    <row r="1">
      <c r="A1" s="1" t="inlineStr">
        <is>
          <t>Copart, Inc. (CPRT) - DCF Valuation</t>
        </is>
      </c>
    </row>
    <row r="2">
      <c r="A2" s="2" t="inlineStr">
        <is>
          <t>Dual Valuation: Perpetuity Growth &amp; Exit Multiple | All figures in $ millions</t>
        </is>
      </c>
    </row>
    <row r="4">
      <c r="A4" s="3" t="inlineStr">
        <is>
          <t>KEY ASSUMPTIONS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Source / Notes</t>
        </is>
      </c>
    </row>
    <row r="6">
      <c r="A6" t="inlineStr">
        <is>
          <t>Terminal Growth Rate</t>
        </is>
      </c>
      <c r="B6" s="6" t="n">
        <v>0.03</v>
      </c>
      <c r="C6" s="2" t="inlineStr">
        <is>
          <t>Long-term GDP growth proxy</t>
        </is>
      </c>
    </row>
    <row r="7">
      <c r="A7" t="inlineStr">
        <is>
          <t>WACC (Discount Rate)</t>
        </is>
      </c>
      <c r="B7" s="6" t="n">
        <v>0.095</v>
      </c>
      <c r="C7" s="2" t="inlineStr">
        <is>
          <t>Conservative vs calculated 10.8%</t>
        </is>
      </c>
    </row>
    <row r="8">
      <c r="A8" t="inlineStr">
        <is>
          <t>Exit EV/EBITDA Multiple</t>
        </is>
      </c>
      <c r="B8" s="28" t="n">
        <v>20</v>
      </c>
      <c r="C8" s="2" t="inlineStr">
        <is>
          <t>Historical peer median, quality premium</t>
        </is>
      </c>
    </row>
    <row r="9">
      <c r="A9" t="inlineStr">
        <is>
          <t>Current Stock Price</t>
        </is>
      </c>
      <c r="B9" s="29" t="n">
        <v>47</v>
      </c>
      <c r="C9" s="2" t="inlineStr">
        <is>
          <t>As of Nov 2025</t>
        </is>
      </c>
    </row>
    <row r="10">
      <c r="A10" t="inlineStr">
        <is>
          <t>Shares Outstanding (Diluted)</t>
        </is>
      </c>
      <c r="B10" s="19" t="n">
        <v>977.6</v>
      </c>
      <c r="C10" s="2" t="inlineStr">
        <is>
          <t>Company 10-K FY2025</t>
        </is>
      </c>
    </row>
    <row r="13">
      <c r="A13" s="10" t="inlineStr">
        <is>
          <t>Forecast Period Cash Flows</t>
        </is>
      </c>
    </row>
    <row r="14">
      <c r="A14" t="inlineStr">
        <is>
          <t>Fiscal Year</t>
        </is>
      </c>
      <c r="B14" s="15" t="inlineStr">
        <is>
          <t>FY2026E</t>
        </is>
      </c>
      <c r="C14" s="15" t="inlineStr">
        <is>
          <t>FY2027E</t>
        </is>
      </c>
      <c r="D14" s="15" t="inlineStr">
        <is>
          <t>FY2028E</t>
        </is>
      </c>
      <c r="E14" s="15" t="inlineStr">
        <is>
          <t>FY2029E</t>
        </is>
      </c>
    </row>
    <row r="15">
      <c r="A15" t="inlineStr">
        <is>
          <t>Unlevered FCF</t>
        </is>
      </c>
      <c r="B15" s="13" t="n">
        <v>1229.7</v>
      </c>
      <c r="C15" s="13" t="n">
        <v>1375.3</v>
      </c>
      <c r="D15" s="13" t="n">
        <v>1505.9</v>
      </c>
      <c r="E15" s="13" t="n">
        <v>1594.7</v>
      </c>
    </row>
    <row r="16">
      <c r="A16" t="inlineStr">
        <is>
          <t>Discount Period (years)</t>
        </is>
      </c>
      <c r="B16" s="19" t="n">
        <v>0.5</v>
      </c>
      <c r="C16" s="19" t="n">
        <v>1.5</v>
      </c>
      <c r="D16" s="19" t="n">
        <v>2.5</v>
      </c>
      <c r="E16" s="19" t="n">
        <v>3.5</v>
      </c>
    </row>
    <row r="17">
      <c r="A17" t="inlineStr">
        <is>
          <t>Discount Factor @ 9.5% WACC</t>
        </is>
      </c>
      <c r="B17" s="30" t="n">
        <v>0.956</v>
      </c>
      <c r="C17" s="30" t="n">
        <v>0.873</v>
      </c>
      <c r="D17" s="30" t="n">
        <v>0.797</v>
      </c>
      <c r="E17" s="30" t="n">
        <v>0.728</v>
      </c>
    </row>
    <row r="18">
      <c r="A18" t="inlineStr">
        <is>
          <t>PV of FCF</t>
        </is>
      </c>
      <c r="B18" s="11" t="n">
        <v>1175.6</v>
      </c>
      <c r="C18" s="11" t="n">
        <v>1200.6</v>
      </c>
      <c r="D18" s="11" t="n">
        <v>1200.2</v>
      </c>
      <c r="E18" s="11" t="n">
        <v>1161</v>
      </c>
    </row>
    <row r="20">
      <c r="A20" t="inlineStr">
        <is>
          <t>Sum of PV of Forecast FCF</t>
        </is>
      </c>
      <c r="B20" s="31" t="n">
        <v>4737.4</v>
      </c>
    </row>
    <row r="23">
      <c r="A23" s="10" t="inlineStr">
        <is>
          <t>Terminal Value - Perpetuity Growth Method</t>
        </is>
      </c>
      <c r="D23" s="10" t="inlineStr">
        <is>
          <t>Terminal Value - Exit Multiple Method</t>
        </is>
      </c>
    </row>
    <row r="24">
      <c r="A24" t="inlineStr">
        <is>
          <t>Terminal Year FCF (FY2029E)</t>
        </is>
      </c>
      <c r="B24" s="11" t="n">
        <v>1594.7</v>
      </c>
      <c r="D24" t="inlineStr">
        <is>
          <t>Terminal Year EBITDA (FY2029E)</t>
        </is>
      </c>
      <c r="E24" s="11" t="n">
        <v>2677.7</v>
      </c>
    </row>
    <row r="25">
      <c r="A25" t="inlineStr">
        <is>
          <t>Terminal Growth Rate</t>
        </is>
      </c>
      <c r="B25" s="6" t="n">
        <v>0.03</v>
      </c>
      <c r="D25" t="inlineStr">
        <is>
          <t>Exit EV/EBITDA Multiple</t>
        </is>
      </c>
      <c r="E25" s="28" t="n">
        <v>20</v>
      </c>
    </row>
    <row r="26">
      <c r="A26" t="inlineStr">
        <is>
          <t>Terminal Year FCF (growing)</t>
        </is>
      </c>
      <c r="B26" s="11" t="n">
        <v>1642.5</v>
      </c>
      <c r="D26" t="inlineStr">
        <is>
          <t>Terminal Enterprise Value</t>
        </is>
      </c>
      <c r="E26" s="13" t="n">
        <v>53554</v>
      </c>
    </row>
    <row r="27">
      <c r="A27" t="inlineStr">
        <is>
          <t>WACC</t>
        </is>
      </c>
      <c r="B27" s="12" t="n">
        <v>0.095</v>
      </c>
      <c r="D27" t="inlineStr">
        <is>
          <t>PV of Terminal Value</t>
        </is>
      </c>
      <c r="E27" s="31" t="n">
        <v>38979.3</v>
      </c>
    </row>
    <row r="28">
      <c r="A28" t="inlineStr">
        <is>
          <t>Terminal Value</t>
        </is>
      </c>
      <c r="B28" s="13" t="n">
        <v>25269.2</v>
      </c>
    </row>
    <row r="29">
      <c r="A29" t="inlineStr">
        <is>
          <t>PV of Terminal Value</t>
        </is>
      </c>
      <c r="B29" s="31" t="n">
        <v>18395.9</v>
      </c>
      <c r="D29" t="inlineStr">
        <is>
          <t>Enterprise Value</t>
        </is>
      </c>
      <c r="E29" s="32" t="n">
        <v>43716.7</v>
      </c>
    </row>
    <row r="31">
      <c r="A31" t="inlineStr">
        <is>
          <t>Enterprise Value</t>
        </is>
      </c>
      <c r="B31" s="32" t="n">
        <v>23133.3</v>
      </c>
      <c r="D31" s="15" t="inlineStr">
        <is>
          <t>Bridge to Equity Value</t>
        </is>
      </c>
    </row>
    <row r="32">
      <c r="D32" t="inlineStr">
        <is>
          <t>Enterprise Value</t>
        </is>
      </c>
      <c r="E32" s="11" t="n">
        <v>43716.7</v>
      </c>
    </row>
    <row r="33">
      <c r="A33" s="15" t="inlineStr">
        <is>
          <t>Bridge to Equity Value</t>
        </is>
      </c>
      <c r="D33" t="inlineStr">
        <is>
          <t>+ Cash &amp; Equivalents</t>
        </is>
      </c>
      <c r="E33" s="11" t="n">
        <v>2784</v>
      </c>
    </row>
    <row r="34">
      <c r="A34" t="inlineStr">
        <is>
          <t>Enterprise Value</t>
        </is>
      </c>
      <c r="B34" s="11" t="n">
        <v>23133.3</v>
      </c>
      <c r="D34" t="inlineStr">
        <is>
          <t>- Total Debt</t>
        </is>
      </c>
      <c r="E34" s="11" t="n">
        <v>103.7</v>
      </c>
    </row>
    <row r="35">
      <c r="A35" t="inlineStr">
        <is>
          <t>+ Cash &amp; Equivalents</t>
        </is>
      </c>
      <c r="B35" s="11" t="n">
        <v>2784</v>
      </c>
      <c r="D35" t="inlineStr">
        <is>
          <t>- Minority Interest</t>
        </is>
      </c>
      <c r="E35" s="11" t="n">
        <v>20.5</v>
      </c>
    </row>
    <row r="36">
      <c r="A36" t="inlineStr">
        <is>
          <t>- Total Debt</t>
        </is>
      </c>
      <c r="B36" s="11" t="n">
        <v>103.7</v>
      </c>
      <c r="D36" t="inlineStr">
        <is>
          <t>Equity Value</t>
        </is>
      </c>
      <c r="E36" s="31" t="n">
        <v>46376.5</v>
      </c>
    </row>
    <row r="37">
      <c r="A37" t="inlineStr">
        <is>
          <t>- Minority Interest</t>
        </is>
      </c>
      <c r="B37" s="11" t="n">
        <v>20.5</v>
      </c>
    </row>
    <row r="38">
      <c r="A38" t="inlineStr">
        <is>
          <t>Equity Value</t>
        </is>
      </c>
      <c r="B38" s="31" t="n">
        <v>25793.1</v>
      </c>
      <c r="D38" t="inlineStr">
        <is>
          <t>Diluted Shares Outstanding</t>
        </is>
      </c>
      <c r="E38" s="19" t="n">
        <v>977.6</v>
      </c>
    </row>
    <row r="39">
      <c r="D39" t="inlineStr">
        <is>
          <t>Fair Value per Share</t>
        </is>
      </c>
      <c r="E39" s="33" t="n">
        <v>47.43</v>
      </c>
    </row>
    <row r="40">
      <c r="A40" t="inlineStr">
        <is>
          <t>Diluted Shares Outstanding</t>
        </is>
      </c>
      <c r="B40" s="19" t="n">
        <v>977.6</v>
      </c>
    </row>
    <row r="41">
      <c r="A41" t="inlineStr">
        <is>
          <t>Fair Value per Share</t>
        </is>
      </c>
      <c r="B41" s="33" t="n">
        <v>26.38</v>
      </c>
    </row>
    <row r="44">
      <c r="A44" s="17" t="inlineStr">
        <is>
          <t>Valuation Summary</t>
        </is>
      </c>
    </row>
    <row r="45">
      <c r="A45" s="4" t="inlineStr">
        <is>
          <t>Methodology</t>
        </is>
      </c>
      <c r="B45" s="4" t="inlineStr">
        <is>
          <t>Fair Value</t>
        </is>
      </c>
      <c r="C45" s="4" t="inlineStr">
        <is>
          <t>Current Price</t>
        </is>
      </c>
      <c r="D45" s="4" t="inlineStr">
        <is>
          <t>Upside/(Downside)</t>
        </is>
      </c>
    </row>
    <row r="46">
      <c r="A46" t="inlineStr">
        <is>
          <t>Perpetuity Growth (3.0%)</t>
        </is>
      </c>
      <c r="B46" s="29" t="n">
        <v>26.38</v>
      </c>
      <c r="C46" s="29" t="n">
        <v>47</v>
      </c>
      <c r="D46" s="34" t="n">
        <v>-0.439</v>
      </c>
    </row>
    <row r="47">
      <c r="A47" t="inlineStr">
        <is>
          <t>Exit Multiple (20.0x)</t>
        </is>
      </c>
      <c r="B47" s="29" t="n">
        <v>47.43</v>
      </c>
      <c r="C47" s="29" t="n">
        <v>47</v>
      </c>
      <c r="D47" s="35" t="n">
        <v>0.008999999999999999</v>
      </c>
    </row>
    <row r="48">
      <c r="A48" t="inlineStr">
        <is>
          <t>Average</t>
        </is>
      </c>
      <c r="B48" s="36" t="n">
        <v>36.91</v>
      </c>
      <c r="C48" s="29" t="n">
        <v>47</v>
      </c>
      <c r="D48" s="14" t="n">
        <v>-0.215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>
      <c r="A1" s="1" t="inlineStr">
        <is>
          <t>Copart, Inc. (CPRT) - WACC Calculation</t>
        </is>
      </c>
    </row>
    <row r="2">
      <c r="A2" s="2" t="inlineStr">
        <is>
          <t>Weighted Average Cost of Capital | Source: Bloomberg, Company Filings</t>
        </is>
      </c>
    </row>
    <row r="4">
      <c r="A4" s="3" t="inlineStr">
        <is>
          <t>KEY ASSUMPTIONS</t>
        </is>
      </c>
    </row>
    <row r="5">
      <c r="A5" s="4" t="inlineStr">
        <is>
          <t>Input</t>
        </is>
      </c>
      <c r="B5" s="4" t="inlineStr">
        <is>
          <t>Value</t>
        </is>
      </c>
      <c r="C5" s="4" t="inlineStr">
        <is>
          <t>Source / Notes</t>
        </is>
      </c>
    </row>
    <row r="6">
      <c r="A6" t="inlineStr">
        <is>
          <t>Risk-Free Rate (10Y Treasury)</t>
        </is>
      </c>
      <c r="B6" s="6" t="n">
        <v>0.045</v>
      </c>
      <c r="C6" s="2" t="inlineStr">
        <is>
          <t>Bloomberg, Nov 2025</t>
        </is>
      </c>
    </row>
    <row r="7">
      <c r="A7" t="inlineStr">
        <is>
          <t>Equity Beta (Levered)</t>
        </is>
      </c>
      <c r="B7" s="37" t="n">
        <v>1.15</v>
      </c>
      <c r="C7" s="2" t="inlineStr">
        <is>
          <t>Bloomberg 2-year daily</t>
        </is>
      </c>
    </row>
    <row r="8">
      <c r="A8" t="inlineStr">
        <is>
          <t>Market Risk Premium</t>
        </is>
      </c>
      <c r="B8" s="6" t="n">
        <v>0.055</v>
      </c>
      <c r="C8" s="2" t="inlineStr">
        <is>
          <t>Damodaran, US equity premium</t>
        </is>
      </c>
    </row>
    <row r="9">
      <c r="A9" t="inlineStr">
        <is>
          <t>Tax Rate</t>
        </is>
      </c>
      <c r="B9" s="6" t="n">
        <v>0.2</v>
      </c>
      <c r="C9" s="2" t="inlineStr">
        <is>
          <t>Normalized statutory rate</t>
        </is>
      </c>
    </row>
    <row r="10">
      <c r="A10" t="inlineStr">
        <is>
          <t>Current Stock Price</t>
        </is>
      </c>
      <c r="B10" s="29" t="n">
        <v>47</v>
      </c>
      <c r="C10" s="2" t="inlineStr">
        <is>
          <t>As of Nov 2025</t>
        </is>
      </c>
    </row>
    <row r="11">
      <c r="A11" t="inlineStr">
        <is>
          <t>Shares Outstanding (Diluted)</t>
        </is>
      </c>
      <c r="B11" s="19" t="n">
        <v>977.6</v>
      </c>
      <c r="C11" s="2" t="inlineStr">
        <is>
          <t>Company 10-K FY2025</t>
        </is>
      </c>
    </row>
    <row r="14">
      <c r="A14" s="10" t="inlineStr">
        <is>
          <t>Cost of Equity (CAPM Method)</t>
        </is>
      </c>
    </row>
    <row r="16">
      <c r="A16" t="inlineStr">
        <is>
          <t>Risk-Free Rate</t>
        </is>
      </c>
      <c r="B16" s="12" t="n">
        <v>0.045</v>
      </c>
    </row>
    <row r="17">
      <c r="A17" t="inlineStr">
        <is>
          <t>Beta × Market Risk Premium</t>
        </is>
      </c>
      <c r="B17" s="38" t="n">
        <v>0.063</v>
      </c>
      <c r="C17" s="2">
        <f> 1.15 × 5.5%</f>
        <v/>
      </c>
    </row>
    <row r="18">
      <c r="A18" t="inlineStr">
        <is>
          <t>Company-Specific Risk Premium</t>
        </is>
      </c>
      <c r="B18" s="12" t="n">
        <v>0</v>
      </c>
      <c r="C18" s="2" t="inlineStr">
        <is>
          <t>None - large cap, dominant position</t>
        </is>
      </c>
    </row>
    <row r="20">
      <c r="A20" t="inlineStr">
        <is>
          <t>Cost of Equity (Ke)</t>
        </is>
      </c>
      <c r="B20" s="39" t="n">
        <v>0.108</v>
      </c>
      <c r="C20" s="2">
        <f> 4.5% + 6.3% + 0.0%</f>
        <v/>
      </c>
    </row>
    <row r="23">
      <c r="A23" s="15" t="inlineStr">
        <is>
          <t>Cost of Debt</t>
        </is>
      </c>
    </row>
    <row r="25">
      <c r="A25" t="inlineStr">
        <is>
          <t>Interest Expense (FY2025)</t>
        </is>
      </c>
      <c r="B25" s="11" t="n">
        <v>3.6</v>
      </c>
    </row>
    <row r="26">
      <c r="A26" t="inlineStr">
        <is>
          <t>Average Debt Outstanding</t>
        </is>
      </c>
      <c r="B26" s="11" t="n">
        <v>103.7</v>
      </c>
    </row>
    <row r="27">
      <c r="A27" t="inlineStr">
        <is>
          <t>Implied Interest Rate</t>
        </is>
      </c>
      <c r="B27" s="12" t="n">
        <v>0.035</v>
      </c>
      <c r="C27" s="2">
        <f> $3.6M / $103.7M</f>
        <v/>
      </c>
    </row>
    <row r="29">
      <c r="A29" t="inlineStr">
        <is>
          <t>After-Tax Cost of Debt (Kd)</t>
        </is>
      </c>
      <c r="B29" s="40" t="n">
        <v>0.028</v>
      </c>
      <c r="C29" s="2">
        <f> 3.5% × (1 - 20%)</f>
        <v/>
      </c>
    </row>
    <row r="32">
      <c r="A32" s="17" t="inlineStr">
        <is>
          <t>Capital Structure (Market Values)</t>
        </is>
      </c>
    </row>
    <row r="34">
      <c r="A34" t="inlineStr">
        <is>
          <t>Market Cap (Current)</t>
        </is>
      </c>
      <c r="B34" s="11" t="n">
        <v>45900</v>
      </c>
      <c r="C34" s="2" t="inlineStr">
        <is>
          <t>977.6M shares × $47.00/share</t>
        </is>
      </c>
    </row>
    <row r="35">
      <c r="A35" t="inlineStr">
        <is>
          <t>Total Debt</t>
        </is>
      </c>
      <c r="B35" s="11" t="n">
        <v>103.7</v>
      </c>
    </row>
    <row r="36">
      <c r="A36" t="inlineStr">
        <is>
          <t>Total Capital</t>
        </is>
      </c>
      <c r="B36" s="13" t="n">
        <v>46003.7</v>
      </c>
    </row>
    <row r="38">
      <c r="A38" t="inlineStr">
        <is>
          <t>Weight of Equity</t>
        </is>
      </c>
      <c r="B38" s="41" t="n">
        <v>0.9977</v>
      </c>
      <c r="C38" s="2">
        <f> $45,900 / $46,004</f>
        <v/>
      </c>
    </row>
    <row r="39">
      <c r="A39" t="inlineStr">
        <is>
          <t>Weight of Debt</t>
        </is>
      </c>
      <c r="B39" s="41" t="n">
        <v>0.0023</v>
      </c>
      <c r="C39" s="2">
        <f> $104 / $46,004</f>
        <v/>
      </c>
    </row>
    <row r="42">
      <c r="A42" s="9" t="inlineStr">
        <is>
          <t>WACC Calculation</t>
        </is>
      </c>
    </row>
    <row r="44">
      <c r="A44" s="42" t="inlineStr">
        <is>
          <t>Formula: WACC = (E/V × Ke) + (D/V × Kd × (1-T))</t>
        </is>
      </c>
    </row>
    <row r="46">
      <c r="A46" t="inlineStr">
        <is>
          <t>Equity Component</t>
        </is>
      </c>
      <c r="B46" s="38" t="n">
        <v>0.1077</v>
      </c>
      <c r="C46" s="2">
        <f> 99.77% × 10.8%</f>
        <v/>
      </c>
    </row>
    <row r="47">
      <c r="A47" t="inlineStr">
        <is>
          <t>Debt Component</t>
        </is>
      </c>
      <c r="B47" s="38" t="n">
        <v>0.0001</v>
      </c>
      <c r="C47" s="2">
        <f> 0.23% × 2.8%</f>
        <v/>
      </c>
    </row>
    <row r="49">
      <c r="A49" t="inlineStr">
        <is>
          <t>WACC</t>
        </is>
      </c>
      <c r="B49" s="43" t="n">
        <v>0.108</v>
      </c>
      <c r="C49" s="44" t="inlineStr">
        <is>
          <t>Rounded to 10.8%</t>
        </is>
      </c>
    </row>
    <row r="51">
      <c r="A51" t="inlineStr">
        <is>
          <t>WACC Used in DCF Model</t>
        </is>
      </c>
      <c r="B51" s="45" t="n">
        <v>0.095</v>
      </c>
      <c r="C51" s="44" t="inlineStr">
        <is>
          <t>Conservative discount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85" customWidth="1" min="1" max="1"/>
    <col width="15" customWidth="1" min="2" max="2"/>
    <col width="20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Copart, Inc. (CPRT) - Sensitivity Analysis</t>
        </is>
      </c>
    </row>
    <row r="2">
      <c r="A2" s="2" t="inlineStr">
        <is>
          <t>Valuation Sensitivity to Key Assumptions | Fair value per share in $</t>
        </is>
      </c>
    </row>
    <row r="4">
      <c r="A4" s="3" t="inlineStr">
        <is>
          <t>KEY ASSUMPTIONS - BASE CASE</t>
        </is>
      </c>
    </row>
    <row r="5">
      <c r="A5" s="4" t="inlineStr">
        <is>
          <t>Assumption</t>
        </is>
      </c>
      <c r="B5" s="4" t="inlineStr">
        <is>
          <t>Value</t>
        </is>
      </c>
      <c r="C5" s="4" t="inlineStr">
        <is>
          <t>Range Tested</t>
        </is>
      </c>
    </row>
    <row r="6">
      <c r="A6" t="inlineStr">
        <is>
          <t>Current Stock Price</t>
        </is>
      </c>
      <c r="B6" s="29" t="n">
        <v>47</v>
      </c>
      <c r="C6" s="2" t="inlineStr">
        <is>
          <t>As of Nov 2025</t>
        </is>
      </c>
    </row>
    <row r="7">
      <c r="A7" t="inlineStr">
        <is>
          <t>Terminal Growth Rate</t>
        </is>
      </c>
      <c r="B7" s="6" t="n">
        <v>0.03</v>
      </c>
      <c r="C7" s="2" t="inlineStr">
        <is>
          <t>2.0% - 4.0%</t>
        </is>
      </c>
    </row>
    <row r="8">
      <c r="A8" t="inlineStr">
        <is>
          <t>WACC</t>
        </is>
      </c>
      <c r="B8" s="6" t="n">
        <v>0.095</v>
      </c>
      <c r="C8" s="2" t="inlineStr">
        <is>
          <t>8.0% - 11.0%</t>
        </is>
      </c>
    </row>
    <row r="9">
      <c r="A9" t="inlineStr">
        <is>
          <t>Exit EV/EBITDA Multiple</t>
        </is>
      </c>
      <c r="B9" s="28" t="n">
        <v>20</v>
      </c>
      <c r="C9" s="2" t="inlineStr">
        <is>
          <t>18.0x - 22.0x</t>
        </is>
      </c>
    </row>
    <row r="10">
      <c r="A10" t="inlineStr">
        <is>
          <t>Fair Value (Perpetuity Method)</t>
        </is>
      </c>
      <c r="B10" s="36" t="n">
        <v>26.38</v>
      </c>
      <c r="C10" s="46" t="inlineStr">
        <is>
          <t>-43.9% vs current</t>
        </is>
      </c>
    </row>
    <row r="11">
      <c r="A11" t="inlineStr">
        <is>
          <t>Fair Value (Exit Multiple Method)</t>
        </is>
      </c>
      <c r="B11" s="36" t="n">
        <v>47.43</v>
      </c>
      <c r="C11" s="47" t="inlineStr">
        <is>
          <t>+0.9% vs current</t>
        </is>
      </c>
    </row>
    <row r="14">
      <c r="A14" s="15" t="inlineStr">
        <is>
          <t>Sensitivity Table: WACC vs Terminal Growth</t>
        </is>
      </c>
    </row>
    <row r="15">
      <c r="A15" s="2" t="inlineStr">
        <is>
          <t>Fair value per share ($) using Perpetuity Growth Method</t>
        </is>
      </c>
    </row>
    <row r="17">
      <c r="A17" s="48" t="inlineStr">
        <is>
          <t>WACC \ Growth →</t>
        </is>
      </c>
      <c r="B17" s="49" t="n">
        <v>0.02</v>
      </c>
      <c r="C17" s="49" t="n">
        <v>0.025</v>
      </c>
      <c r="D17" s="49" t="n">
        <v>0.03</v>
      </c>
      <c r="E17" s="49" t="n">
        <v>0.035</v>
      </c>
      <c r="F17" s="49" t="n">
        <v>0.04</v>
      </c>
    </row>
    <row r="18">
      <c r="A18" s="49" t="n">
        <v>0.08</v>
      </c>
      <c r="B18" s="50" t="n">
        <v>36.09</v>
      </c>
      <c r="C18" s="50" t="n">
        <v>38.47</v>
      </c>
      <c r="D18" s="51" t="n">
        <v>41.34</v>
      </c>
      <c r="E18" s="51" t="n">
        <v>44.76</v>
      </c>
      <c r="F18" s="52" t="n">
        <v>48.94</v>
      </c>
    </row>
    <row r="19">
      <c r="A19" s="49" t="n">
        <v>0.08500000000000001</v>
      </c>
      <c r="B19" s="50" t="n">
        <v>32.34</v>
      </c>
      <c r="C19" s="50" t="n">
        <v>34.31</v>
      </c>
      <c r="D19" s="50" t="n">
        <v>36.62</v>
      </c>
      <c r="E19" s="50" t="n">
        <v>39.37</v>
      </c>
      <c r="F19" s="51" t="n">
        <v>42.69</v>
      </c>
    </row>
    <row r="20">
      <c r="A20" s="49" t="n">
        <v>0.09</v>
      </c>
      <c r="B20" s="50" t="n">
        <v>29.32</v>
      </c>
      <c r="C20" s="50" t="n">
        <v>31</v>
      </c>
      <c r="D20" s="50" t="n">
        <v>32.92</v>
      </c>
      <c r="E20" s="50" t="n">
        <v>35.16</v>
      </c>
      <c r="F20" s="50" t="n">
        <v>37.83</v>
      </c>
    </row>
    <row r="21">
      <c r="A21" s="49" t="n">
        <v>0.095</v>
      </c>
      <c r="B21" s="50" t="n">
        <v>26.85</v>
      </c>
      <c r="C21" s="50" t="n">
        <v>28.26</v>
      </c>
      <c r="D21" s="53" t="n">
        <v>29.88</v>
      </c>
      <c r="E21" s="50" t="n">
        <v>31.76</v>
      </c>
      <c r="F21" s="50" t="n">
        <v>33.97</v>
      </c>
    </row>
    <row r="22">
      <c r="A22" s="49" t="n">
        <v>0.1</v>
      </c>
      <c r="B22" s="50" t="n">
        <v>24.79</v>
      </c>
      <c r="C22" s="50" t="n">
        <v>26</v>
      </c>
      <c r="D22" s="50" t="n">
        <v>27.39</v>
      </c>
      <c r="E22" s="50" t="n">
        <v>28.99</v>
      </c>
      <c r="F22" s="50" t="n">
        <v>30.85</v>
      </c>
    </row>
    <row r="23">
      <c r="A23" s="49" t="n">
        <v>0.105</v>
      </c>
      <c r="B23" s="50" t="n">
        <v>23.04</v>
      </c>
      <c r="C23" s="50" t="n">
        <v>24.09</v>
      </c>
      <c r="D23" s="50" t="n">
        <v>25.27</v>
      </c>
      <c r="E23" s="50" t="n">
        <v>26.61</v>
      </c>
      <c r="F23" s="50" t="n">
        <v>28.15</v>
      </c>
    </row>
    <row r="24">
      <c r="A24" s="49" t="n">
        <v>0.11</v>
      </c>
      <c r="B24" s="50" t="n">
        <v>21.53</v>
      </c>
      <c r="C24" s="50" t="n">
        <v>22.45</v>
      </c>
      <c r="D24" s="50" t="n">
        <v>23.48</v>
      </c>
      <c r="E24" s="50" t="n">
        <v>24.63</v>
      </c>
      <c r="F24" s="50" t="n">
        <v>25.95</v>
      </c>
    </row>
    <row r="27">
      <c r="A27" s="15" t="inlineStr">
        <is>
          <t>Sensitivity Table: WACC vs Exit EV/EBITDA Multiple</t>
        </is>
      </c>
    </row>
    <row r="28">
      <c r="A28" s="2" t="inlineStr">
        <is>
          <t>Fair value per share ($) using Exit Multiple Method</t>
        </is>
      </c>
    </row>
    <row r="30">
      <c r="A30" s="48" t="inlineStr">
        <is>
          <t>WACC \ Multiple →</t>
        </is>
      </c>
      <c r="B30" s="48" t="inlineStr">
        <is>
          <t>18.0x</t>
        </is>
      </c>
      <c r="C30" s="48" t="inlineStr">
        <is>
          <t>19.0x</t>
        </is>
      </c>
      <c r="D30" s="48" t="inlineStr">
        <is>
          <t>20.0x</t>
        </is>
      </c>
      <c r="E30" s="48" t="inlineStr">
        <is>
          <t>21.0x</t>
        </is>
      </c>
      <c r="F30" s="48" t="inlineStr">
        <is>
          <t>22.0x</t>
        </is>
      </c>
    </row>
    <row r="31">
      <c r="A31" s="49" t="n">
        <v>0.08</v>
      </c>
      <c r="B31" s="51" t="n">
        <v>41.34</v>
      </c>
      <c r="C31" s="51" t="n">
        <v>44.88</v>
      </c>
      <c r="D31" s="52" t="n">
        <v>48.43</v>
      </c>
      <c r="E31" s="52" t="n">
        <v>51.97</v>
      </c>
      <c r="F31" s="52" t="n">
        <v>55.51</v>
      </c>
    </row>
    <row r="32">
      <c r="A32" s="49" t="n">
        <v>0.08500000000000001</v>
      </c>
      <c r="B32" s="51" t="n">
        <v>36.62</v>
      </c>
      <c r="C32" s="51" t="n">
        <v>39.73</v>
      </c>
      <c r="D32" s="51" t="n">
        <v>42.84</v>
      </c>
      <c r="E32" s="51" t="n">
        <v>45.95</v>
      </c>
      <c r="F32" s="52" t="n">
        <v>49.06</v>
      </c>
    </row>
    <row r="33">
      <c r="A33" s="49" t="n">
        <v>0.09</v>
      </c>
      <c r="B33" s="50" t="n">
        <v>32.92</v>
      </c>
      <c r="C33" s="51" t="n">
        <v>35.7</v>
      </c>
      <c r="D33" s="51" t="n">
        <v>38.48</v>
      </c>
      <c r="E33" s="51" t="n">
        <v>41.26</v>
      </c>
      <c r="F33" s="51" t="n">
        <v>44.04</v>
      </c>
    </row>
    <row r="34">
      <c r="A34" s="49" t="n">
        <v>0.095</v>
      </c>
      <c r="B34" s="50" t="n">
        <v>29.88</v>
      </c>
      <c r="C34" s="50" t="n">
        <v>32.38</v>
      </c>
      <c r="D34" s="53" t="n">
        <v>34.87</v>
      </c>
      <c r="E34" s="51" t="n">
        <v>37.37</v>
      </c>
      <c r="F34" s="51" t="n">
        <v>39.87</v>
      </c>
    </row>
    <row r="35">
      <c r="A35" s="49" t="n">
        <v>0.1</v>
      </c>
      <c r="B35" s="50" t="n">
        <v>27.39</v>
      </c>
      <c r="C35" s="50" t="n">
        <v>29.66</v>
      </c>
      <c r="D35" s="50" t="n">
        <v>31.94</v>
      </c>
      <c r="E35" s="50" t="n">
        <v>34.22</v>
      </c>
      <c r="F35" s="51" t="n">
        <v>36.49</v>
      </c>
    </row>
    <row r="36">
      <c r="A36" s="49" t="n">
        <v>0.105</v>
      </c>
      <c r="B36" s="50" t="n">
        <v>25.27</v>
      </c>
      <c r="C36" s="50" t="n">
        <v>27.35</v>
      </c>
      <c r="D36" s="50" t="n">
        <v>29.43</v>
      </c>
      <c r="E36" s="50" t="n">
        <v>31.51</v>
      </c>
      <c r="F36" s="50" t="n">
        <v>33.59</v>
      </c>
    </row>
    <row r="37">
      <c r="A37" s="49" t="n">
        <v>0.11</v>
      </c>
      <c r="B37" s="50" t="n">
        <v>23.48</v>
      </c>
      <c r="C37" s="50" t="n">
        <v>25.4</v>
      </c>
      <c r="D37" s="50" t="n">
        <v>27.32</v>
      </c>
      <c r="E37" s="50" t="n">
        <v>29.25</v>
      </c>
      <c r="F37" s="50" t="n">
        <v>31.17</v>
      </c>
    </row>
    <row r="40">
      <c r="A40" s="10" t="inlineStr">
        <is>
          <t>Scenario Analysis - Perpetuity Growth Method</t>
        </is>
      </c>
    </row>
    <row r="42">
      <c r="A42" s="4" t="inlineStr">
        <is>
          <t>Scenario</t>
        </is>
      </c>
      <c r="B42" s="4" t="inlineStr">
        <is>
          <t>Revenue CAGR</t>
        </is>
      </c>
      <c r="C42" s="4" t="inlineStr">
        <is>
          <t>EBITDA Margin</t>
        </is>
      </c>
      <c r="D42" s="4" t="inlineStr">
        <is>
          <t>Terminal Growth</t>
        </is>
      </c>
      <c r="E42" s="4" t="inlineStr">
        <is>
          <t>Fair Value</t>
        </is>
      </c>
      <c r="F42" s="4" t="inlineStr">
        <is>
          <t>Upside/(Downside)</t>
        </is>
      </c>
    </row>
    <row r="43">
      <c r="A43" t="inlineStr">
        <is>
          <t>Bear Case</t>
        </is>
      </c>
      <c r="B43" s="12" t="n">
        <v>0.04</v>
      </c>
      <c r="C43" s="12" t="n">
        <v>0.38</v>
      </c>
      <c r="D43" s="12" t="n">
        <v>0.02</v>
      </c>
      <c r="E43" s="29" t="n">
        <v>23.5</v>
      </c>
      <c r="F43" s="12" t="n">
        <v>-0.5</v>
      </c>
    </row>
    <row r="44">
      <c r="A44" s="54" t="inlineStr">
        <is>
          <t>Base Case</t>
        </is>
      </c>
      <c r="B44" s="55" t="n">
        <v>0.07000000000000001</v>
      </c>
      <c r="C44" s="55" t="n">
        <v>0.4</v>
      </c>
      <c r="D44" s="55" t="n">
        <v>0.03</v>
      </c>
      <c r="E44" s="56" t="n">
        <v>26.38</v>
      </c>
      <c r="F44" s="55" t="n">
        <v>-0.439</v>
      </c>
    </row>
    <row r="45">
      <c r="A45" t="inlineStr">
        <is>
          <t>Bull Case</t>
        </is>
      </c>
      <c r="B45" s="12" t="n">
        <v>0.1</v>
      </c>
      <c r="C45" s="12" t="n">
        <v>0.43</v>
      </c>
      <c r="D45" s="12" t="n">
        <v>0.04</v>
      </c>
      <c r="E45" s="29" t="n">
        <v>38.2</v>
      </c>
      <c r="F45" s="12" t="n">
        <v>-0.187</v>
      </c>
    </row>
    <row r="47">
      <c r="A47" s="10" t="inlineStr">
        <is>
          <t>Scenario Analysis - Exit Multiple Method</t>
        </is>
      </c>
    </row>
    <row r="49">
      <c r="A49" s="4" t="inlineStr">
        <is>
          <t>Scenario</t>
        </is>
      </c>
      <c r="B49" s="4" t="inlineStr">
        <is>
          <t>Revenue CAGR</t>
        </is>
      </c>
      <c r="C49" s="4" t="inlineStr">
        <is>
          <t>EBITDA Margin</t>
        </is>
      </c>
      <c r="D49" s="4" t="inlineStr">
        <is>
          <t>Exit Multiple</t>
        </is>
      </c>
      <c r="E49" s="4" t="inlineStr">
        <is>
          <t>Fair Value</t>
        </is>
      </c>
      <c r="F49" s="4" t="inlineStr">
        <is>
          <t>Upside/(Downside)</t>
        </is>
      </c>
    </row>
    <row r="50">
      <c r="A50" t="inlineStr">
        <is>
          <t>Bear Case</t>
        </is>
      </c>
      <c r="B50" s="12" t="n">
        <v>0.04</v>
      </c>
      <c r="C50" s="12" t="n">
        <v>0.38</v>
      </c>
      <c r="D50" s="57" t="n">
        <v>16</v>
      </c>
      <c r="E50" s="29" t="n">
        <v>33.5</v>
      </c>
      <c r="F50" s="12" t="n">
        <v>-0.287</v>
      </c>
    </row>
    <row r="51">
      <c r="A51" s="54" t="inlineStr">
        <is>
          <t>Base Case</t>
        </is>
      </c>
      <c r="B51" s="55" t="n">
        <v>0.07000000000000001</v>
      </c>
      <c r="C51" s="55" t="n">
        <v>0.4</v>
      </c>
      <c r="D51" s="58" t="n">
        <v>20</v>
      </c>
      <c r="E51" s="56" t="n">
        <v>47.43</v>
      </c>
      <c r="F51" s="55" t="n">
        <v>0.009000000000000001</v>
      </c>
    </row>
    <row r="52">
      <c r="A52" t="inlineStr">
        <is>
          <t>Bull Case</t>
        </is>
      </c>
      <c r="B52" s="12" t="n">
        <v>0.1</v>
      </c>
      <c r="C52" s="12" t="n">
        <v>0.43</v>
      </c>
      <c r="D52" s="57" t="n">
        <v>24</v>
      </c>
      <c r="E52" s="29" t="n">
        <v>68.90000000000001</v>
      </c>
      <c r="F52" s="12" t="n">
        <v>0.466</v>
      </c>
    </row>
    <row r="54">
      <c r="A54" s="9" t="inlineStr">
        <is>
          <t>Key Takeaways</t>
        </is>
      </c>
    </row>
    <row r="55">
      <c r="A55" s="23" t="inlineStr">
        <is>
          <t>• Perpetuity method implies significant downside at current $47 price across all scenarios</t>
        </is>
      </c>
    </row>
    <row r="56">
      <c r="A56" s="23" t="inlineStr">
        <is>
          <t>• Exit multiple method shows fair value at/near current price in base case</t>
        </is>
      </c>
    </row>
    <row r="57">
      <c r="A57" s="23" t="inlineStr">
        <is>
          <t>• Valuation highly sensitive to terminal assumptions - range from $23 to $69</t>
        </is>
      </c>
    </row>
    <row r="58">
      <c r="A58" s="23" t="inlineStr">
        <is>
          <t>• Current market price implies exit multiple valuation, not perpetuity growth</t>
        </is>
      </c>
    </row>
    <row r="59">
      <c r="A59" s="23" t="inlineStr">
        <is>
          <t>• Risk/reward appears asymmetric with more downside than upside potential</t>
        </is>
      </c>
    </row>
    <row r="60">
      <c r="A60" s="23" t="inlineStr">
        <is>
          <t>• Quality business (fortress balance sheet, market dominance) may support premium multiple</t>
        </is>
      </c>
    </row>
    <row r="61">
      <c r="A61" s="23" t="inlineStr">
        <is>
          <t>• Recent 30% decline reflects margin compression and volume growth deceleration concerns</t>
        </is>
      </c>
    </row>
    <row r="64">
      <c r="A64" s="3" t="inlineStr">
        <is>
          <t>Investment Recommendation</t>
        </is>
      </c>
    </row>
    <row r="65">
      <c r="A65" s="59" t="inlineStr">
        <is>
          <t>Rating: HOLD / WAIT FOR BETTER ENTRY</t>
        </is>
      </c>
    </row>
    <row r="67">
      <c r="A67" s="60" t="inlineStr">
        <is>
          <t>Thesis:</t>
        </is>
      </c>
    </row>
    <row r="68">
      <c r="A68" s="23" t="inlineStr">
        <is>
          <t>Copart is a quality compounder with structural competitive advantages:</t>
        </is>
      </c>
    </row>
    <row r="69">
      <c r="A69" s="23" t="inlineStr">
        <is>
          <t xml:space="preserve">  - 50-65% market share, network effects, high barriers to entry</t>
        </is>
      </c>
    </row>
    <row r="70">
      <c r="A70" s="23" t="inlineStr">
        <is>
          <t xml:space="preserve">  - Fortress balance sheet ($2.8B cash, zero net debt)</t>
        </is>
      </c>
    </row>
    <row r="71">
      <c r="A71" s="23" t="inlineStr">
        <is>
          <t xml:space="preserve">  - Exceptional margins (33% net margin vs 21% industry average)</t>
        </is>
      </c>
    </row>
    <row r="72">
      <c r="A72" s="23" t="inlineStr"/>
    </row>
    <row r="73">
      <c r="A73" s="23" t="inlineStr">
        <is>
          <t>However, current valuation reflects elevated expectations:</t>
        </is>
      </c>
    </row>
    <row r="74">
      <c r="A74" s="23" t="inlineStr">
        <is>
          <t xml:space="preserve">  - 29.7x forward P/E vs historical 20-25x range</t>
        </is>
      </c>
    </row>
    <row r="75">
      <c r="A75" s="23" t="inlineStr">
        <is>
          <t xml:space="preserve">  - Perpetuity DCF suggests -44% downside to fair value</t>
        </is>
      </c>
    </row>
    <row r="76">
      <c r="A76" s="23" t="inlineStr">
        <is>
          <t xml:space="preserve">  - Exit multiple DCF shows ~0% upside at 20.0x terminal multiple</t>
        </is>
      </c>
    </row>
    <row r="77">
      <c r="A77" s="23" t="inlineStr"/>
    </row>
    <row r="78">
      <c r="A78" s="23" t="inlineStr">
        <is>
          <t>Conclusion: Wait for better entry point or margin expansion catalysts.</t>
        </is>
      </c>
    </row>
    <row r="79">
      <c r="A79" s="23" t="inlineStr">
        <is>
          <t>Target entry: $35-40 range (~30% below current) for favorable risk/reward.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2025-11-11T04:18:10Z</dcterms:created>
  <dcterms:modified xmlns:dcterms="http://purl.org/dc/terms/" xmlns:xsi="http://www.w3.org/2001/XMLSchema-instance" xsi:type="dcterms:W3CDTF">2025-11-11T04:25:55Z</dcterms:modified>
</cp:coreProperties>
</file>